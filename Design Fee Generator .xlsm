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rgemoreno/Desktop/Jorgito/Personal Coding Projects/VBA Misc Projects/"/>
    </mc:Choice>
  </mc:AlternateContent>
  <xr:revisionPtr revIDLastSave="0" documentId="13_ncr:1_{FA78ACA6-2408-0849-8BFE-E3A4DF4233EE}" xr6:coauthVersionLast="47" xr6:coauthVersionMax="47" xr10:uidLastSave="{00000000-0000-0000-0000-000000000000}"/>
  <bookViews>
    <workbookView xWindow="0" yWindow="780" windowWidth="34200" windowHeight="21360" xr2:uid="{9DC63F22-7F57-4DBA-A066-86C769E483AD}"/>
  </bookViews>
  <sheets>
    <sheet name="Inpu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5" i="1" l="1"/>
  <c r="K48" i="1"/>
  <c r="J41" i="1"/>
  <c r="A16" i="1"/>
  <c r="A17" i="1"/>
  <c r="A18" i="1"/>
  <c r="A19" i="1"/>
  <c r="A20" i="1"/>
  <c r="K14" i="1"/>
  <c r="BR14" i="1" s="1"/>
  <c r="J14" i="1"/>
  <c r="K16" i="1"/>
  <c r="BW16" i="1" s="1"/>
  <c r="J16" i="1"/>
  <c r="K18" i="1"/>
  <c r="CB18" i="1" s="1"/>
  <c r="J18" i="1"/>
  <c r="K20" i="1"/>
  <c r="BQ20" i="1" s="1"/>
  <c r="J20" i="1"/>
  <c r="K24" i="1"/>
  <c r="BU24" i="1" s="1"/>
  <c r="J24" i="1"/>
  <c r="K22" i="1"/>
  <c r="Q22" i="1" s="1"/>
  <c r="J22" i="1"/>
  <c r="K12" i="1"/>
  <c r="CC12" i="1" s="1"/>
  <c r="J12" i="1"/>
  <c r="P12" i="1" l="1"/>
  <c r="P22" i="1"/>
  <c r="AE22" i="1"/>
  <c r="X22" i="1"/>
  <c r="O22" i="1"/>
  <c r="Z24" i="1"/>
  <c r="CB22" i="1"/>
  <c r="AA24" i="1"/>
  <c r="CA22" i="1"/>
  <c r="AH24" i="1"/>
  <c r="BT22" i="1"/>
  <c r="AP24" i="1"/>
  <c r="R24" i="1"/>
  <c r="BL22" i="1"/>
  <c r="AQ24" i="1"/>
  <c r="BK22" i="1"/>
  <c r="AX24" i="1"/>
  <c r="BF24" i="1"/>
  <c r="AV22" i="1"/>
  <c r="BG24" i="1"/>
  <c r="BD22" i="1"/>
  <c r="BN24" i="1"/>
  <c r="AU22" i="1"/>
  <c r="BV24" i="1"/>
  <c r="AN22" i="1"/>
  <c r="AF22" i="1"/>
  <c r="BW24" i="1"/>
  <c r="BJ22" i="1"/>
  <c r="AD22" i="1"/>
  <c r="AR24" i="1"/>
  <c r="BH24" i="1"/>
  <c r="BX24" i="1"/>
  <c r="W20" i="1"/>
  <c r="AM20" i="1"/>
  <c r="BC20" i="1"/>
  <c r="BS20" i="1"/>
  <c r="R18" i="1"/>
  <c r="AH18" i="1"/>
  <c r="AX18" i="1"/>
  <c r="BN18" i="1"/>
  <c r="M16" i="1"/>
  <c r="AC16" i="1"/>
  <c r="AS16" i="1"/>
  <c r="BI16" i="1"/>
  <c r="BY16" i="1"/>
  <c r="X14" i="1"/>
  <c r="AN14" i="1"/>
  <c r="BD14" i="1"/>
  <c r="BT14" i="1"/>
  <c r="S12" i="1"/>
  <c r="AI12" i="1"/>
  <c r="AY12" i="1"/>
  <c r="BO12" i="1"/>
  <c r="BI22" i="1"/>
  <c r="AS22" i="1"/>
  <c r="M24" i="1"/>
  <c r="AC24" i="1"/>
  <c r="AS24" i="1"/>
  <c r="BI24" i="1"/>
  <c r="BY24" i="1"/>
  <c r="X20" i="1"/>
  <c r="AN20" i="1"/>
  <c r="BD20" i="1"/>
  <c r="BT20" i="1"/>
  <c r="S18" i="1"/>
  <c r="AI18" i="1"/>
  <c r="AY18" i="1"/>
  <c r="BO18" i="1"/>
  <c r="N16" i="1"/>
  <c r="AD16" i="1"/>
  <c r="AT16" i="1"/>
  <c r="BJ16" i="1"/>
  <c r="BZ16" i="1"/>
  <c r="Y14" i="1"/>
  <c r="AO14" i="1"/>
  <c r="BE14" i="1"/>
  <c r="BU14" i="1"/>
  <c r="T12" i="1"/>
  <c r="AJ12" i="1"/>
  <c r="AZ12" i="1"/>
  <c r="BP12" i="1"/>
  <c r="BX22" i="1"/>
  <c r="AR22" i="1"/>
  <c r="AB22" i="1"/>
  <c r="N24" i="1"/>
  <c r="AD24" i="1"/>
  <c r="AT24" i="1"/>
  <c r="BJ24" i="1"/>
  <c r="BZ24" i="1"/>
  <c r="Y20" i="1"/>
  <c r="AO20" i="1"/>
  <c r="BE20" i="1"/>
  <c r="BU20" i="1"/>
  <c r="T18" i="1"/>
  <c r="AJ18" i="1"/>
  <c r="AZ18" i="1"/>
  <c r="BP18" i="1"/>
  <c r="O16" i="1"/>
  <c r="AE16" i="1"/>
  <c r="AU16" i="1"/>
  <c r="BK16" i="1"/>
  <c r="CA16" i="1"/>
  <c r="Z14" i="1"/>
  <c r="AP14" i="1"/>
  <c r="BF14" i="1"/>
  <c r="BV14" i="1"/>
  <c r="U12" i="1"/>
  <c r="AK12" i="1"/>
  <c r="BA12" i="1"/>
  <c r="BQ12" i="1"/>
  <c r="BW22" i="1"/>
  <c r="BG22" i="1"/>
  <c r="AQ22" i="1"/>
  <c r="AA22" i="1"/>
  <c r="O24" i="1"/>
  <c r="AE24" i="1"/>
  <c r="AU24" i="1"/>
  <c r="BK24" i="1"/>
  <c r="CA24" i="1"/>
  <c r="Z20" i="1"/>
  <c r="AP20" i="1"/>
  <c r="BF20" i="1"/>
  <c r="BV20" i="1"/>
  <c r="U18" i="1"/>
  <c r="AK18" i="1"/>
  <c r="BA18" i="1"/>
  <c r="BQ18" i="1"/>
  <c r="P16" i="1"/>
  <c r="AF16" i="1"/>
  <c r="AV16" i="1"/>
  <c r="BL16" i="1"/>
  <c r="CB16" i="1"/>
  <c r="AA14" i="1"/>
  <c r="AQ14" i="1"/>
  <c r="BG14" i="1"/>
  <c r="BW14" i="1"/>
  <c r="V12" i="1"/>
  <c r="AL12" i="1"/>
  <c r="BB12" i="1"/>
  <c r="BR12" i="1"/>
  <c r="AL20" i="1"/>
  <c r="BB20" i="1"/>
  <c r="BR20" i="1"/>
  <c r="AG18" i="1"/>
  <c r="BM18" i="1"/>
  <c r="AB16" i="1"/>
  <c r="BH16" i="1"/>
  <c r="W14" i="1"/>
  <c r="BC14" i="1"/>
  <c r="R12" i="1"/>
  <c r="AH12" i="1"/>
  <c r="BN12" i="1"/>
  <c r="BZ22" i="1"/>
  <c r="AT22" i="1"/>
  <c r="N22" i="1"/>
  <c r="BY22" i="1"/>
  <c r="AC22" i="1"/>
  <c r="BH22" i="1"/>
  <c r="BV22" i="1"/>
  <c r="AP22" i="1"/>
  <c r="P24" i="1"/>
  <c r="AF24" i="1"/>
  <c r="BL24" i="1"/>
  <c r="CB24" i="1"/>
  <c r="AA20" i="1"/>
  <c r="AQ20" i="1"/>
  <c r="BG20" i="1"/>
  <c r="BW20" i="1"/>
  <c r="V18" i="1"/>
  <c r="AL18" i="1"/>
  <c r="BB18" i="1"/>
  <c r="BR18" i="1"/>
  <c r="Q16" i="1"/>
  <c r="AG16" i="1"/>
  <c r="AW16" i="1"/>
  <c r="BM16" i="1"/>
  <c r="CC16" i="1"/>
  <c r="AB14" i="1"/>
  <c r="AR14" i="1"/>
  <c r="BH14" i="1"/>
  <c r="BX14" i="1"/>
  <c r="W12" i="1"/>
  <c r="AM12" i="1"/>
  <c r="BC12" i="1"/>
  <c r="BS12" i="1"/>
  <c r="V20" i="1"/>
  <c r="Q18" i="1"/>
  <c r="AW18" i="1"/>
  <c r="CC18" i="1"/>
  <c r="AR16" i="1"/>
  <c r="BX16" i="1"/>
  <c r="AM14" i="1"/>
  <c r="BS14" i="1"/>
  <c r="AX12" i="1"/>
  <c r="AB24" i="1"/>
  <c r="BF22" i="1"/>
  <c r="Z22" i="1"/>
  <c r="AV24" i="1"/>
  <c r="BU22" i="1"/>
  <c r="BE22" i="1"/>
  <c r="AO22" i="1"/>
  <c r="Y22" i="1"/>
  <c r="Q24" i="1"/>
  <c r="AG24" i="1"/>
  <c r="AW24" i="1"/>
  <c r="BM24" i="1"/>
  <c r="CC24" i="1"/>
  <c r="AB20" i="1"/>
  <c r="AR20" i="1"/>
  <c r="BH20" i="1"/>
  <c r="BX20" i="1"/>
  <c r="W18" i="1"/>
  <c r="AM18" i="1"/>
  <c r="BC18" i="1"/>
  <c r="BS18" i="1"/>
  <c r="R16" i="1"/>
  <c r="AH16" i="1"/>
  <c r="AX16" i="1"/>
  <c r="BN16" i="1"/>
  <c r="M14" i="1"/>
  <c r="AC14" i="1"/>
  <c r="AS14" i="1"/>
  <c r="BI14" i="1"/>
  <c r="BY14" i="1"/>
  <c r="X12" i="1"/>
  <c r="AN12" i="1"/>
  <c r="BD12" i="1"/>
  <c r="BT12" i="1"/>
  <c r="M20" i="1"/>
  <c r="AC20" i="1"/>
  <c r="AS20" i="1"/>
  <c r="BI20" i="1"/>
  <c r="BY20" i="1"/>
  <c r="X18" i="1"/>
  <c r="AN18" i="1"/>
  <c r="BD18" i="1"/>
  <c r="BT18" i="1"/>
  <c r="S16" i="1"/>
  <c r="AI16" i="1"/>
  <c r="AY16" i="1"/>
  <c r="BO16" i="1"/>
  <c r="N14" i="1"/>
  <c r="AD14" i="1"/>
  <c r="AT14" i="1"/>
  <c r="BJ14" i="1"/>
  <c r="BZ14" i="1"/>
  <c r="Y12" i="1"/>
  <c r="AO12" i="1"/>
  <c r="BE12" i="1"/>
  <c r="BU12" i="1"/>
  <c r="BS22" i="1"/>
  <c r="BC22" i="1"/>
  <c r="AM22" i="1"/>
  <c r="W22" i="1"/>
  <c r="S24" i="1"/>
  <c r="AI24" i="1"/>
  <c r="AY24" i="1"/>
  <c r="BO24" i="1"/>
  <c r="N20" i="1"/>
  <c r="AD20" i="1"/>
  <c r="AT20" i="1"/>
  <c r="BJ20" i="1"/>
  <c r="BZ20" i="1"/>
  <c r="Y18" i="1"/>
  <c r="AO18" i="1"/>
  <c r="BE18" i="1"/>
  <c r="BU18" i="1"/>
  <c r="T16" i="1"/>
  <c r="AJ16" i="1"/>
  <c r="AZ16" i="1"/>
  <c r="BP16" i="1"/>
  <c r="O14" i="1"/>
  <c r="AE14" i="1"/>
  <c r="AU14" i="1"/>
  <c r="BK14" i="1"/>
  <c r="CA14" i="1"/>
  <c r="Z12" i="1"/>
  <c r="AP12" i="1"/>
  <c r="BF12" i="1"/>
  <c r="BV12" i="1"/>
  <c r="BR22" i="1"/>
  <c r="BB22" i="1"/>
  <c r="AL22" i="1"/>
  <c r="V22" i="1"/>
  <c r="T24" i="1"/>
  <c r="AJ24" i="1"/>
  <c r="AZ24" i="1"/>
  <c r="BP24" i="1"/>
  <c r="O20" i="1"/>
  <c r="AE20" i="1"/>
  <c r="AU20" i="1"/>
  <c r="BK20" i="1"/>
  <c r="CA20" i="1"/>
  <c r="Z18" i="1"/>
  <c r="AP18" i="1"/>
  <c r="BF18" i="1"/>
  <c r="BV18" i="1"/>
  <c r="U16" i="1"/>
  <c r="AK16" i="1"/>
  <c r="BA16" i="1"/>
  <c r="BQ16" i="1"/>
  <c r="P14" i="1"/>
  <c r="AF14" i="1"/>
  <c r="AV14" i="1"/>
  <c r="BL14" i="1"/>
  <c r="CB14" i="1"/>
  <c r="AA12" i="1"/>
  <c r="AQ12" i="1"/>
  <c r="BG12" i="1"/>
  <c r="BW12" i="1"/>
  <c r="BQ22" i="1"/>
  <c r="BA22" i="1"/>
  <c r="AK22" i="1"/>
  <c r="U22" i="1"/>
  <c r="U24" i="1"/>
  <c r="AK24" i="1"/>
  <c r="BA24" i="1"/>
  <c r="BQ24" i="1"/>
  <c r="P20" i="1"/>
  <c r="AF20" i="1"/>
  <c r="AV20" i="1"/>
  <c r="BL20" i="1"/>
  <c r="CB20" i="1"/>
  <c r="AA18" i="1"/>
  <c r="AQ18" i="1"/>
  <c r="BG18" i="1"/>
  <c r="BW18" i="1"/>
  <c r="V16" i="1"/>
  <c r="AL16" i="1"/>
  <c r="BB16" i="1"/>
  <c r="BR16" i="1"/>
  <c r="Q14" i="1"/>
  <c r="AG14" i="1"/>
  <c r="AW14" i="1"/>
  <c r="BM14" i="1"/>
  <c r="CC14" i="1"/>
  <c r="AB12" i="1"/>
  <c r="AR12" i="1"/>
  <c r="BH12" i="1"/>
  <c r="BX12" i="1"/>
  <c r="BP22" i="1"/>
  <c r="AZ22" i="1"/>
  <c r="AJ22" i="1"/>
  <c r="T22" i="1"/>
  <c r="V24" i="1"/>
  <c r="AL24" i="1"/>
  <c r="BB24" i="1"/>
  <c r="BR24" i="1"/>
  <c r="Q20" i="1"/>
  <c r="AG20" i="1"/>
  <c r="AW20" i="1"/>
  <c r="BM20" i="1"/>
  <c r="CC20" i="1"/>
  <c r="AB18" i="1"/>
  <c r="AR18" i="1"/>
  <c r="BH18" i="1"/>
  <c r="BX18" i="1"/>
  <c r="W16" i="1"/>
  <c r="AM16" i="1"/>
  <c r="BC16" i="1"/>
  <c r="BS16" i="1"/>
  <c r="R14" i="1"/>
  <c r="AH14" i="1"/>
  <c r="AX14" i="1"/>
  <c r="BN14" i="1"/>
  <c r="M12" i="1"/>
  <c r="AC12" i="1"/>
  <c r="AS12" i="1"/>
  <c r="BI12" i="1"/>
  <c r="BY12" i="1"/>
  <c r="BO22" i="1"/>
  <c r="AY22" i="1"/>
  <c r="AI22" i="1"/>
  <c r="S22" i="1"/>
  <c r="W24" i="1"/>
  <c r="AM24" i="1"/>
  <c r="BC24" i="1"/>
  <c r="BS24" i="1"/>
  <c r="R20" i="1"/>
  <c r="AH20" i="1"/>
  <c r="AX20" i="1"/>
  <c r="BN20" i="1"/>
  <c r="M18" i="1"/>
  <c r="AC18" i="1"/>
  <c r="AS18" i="1"/>
  <c r="BI18" i="1"/>
  <c r="BY18" i="1"/>
  <c r="X16" i="1"/>
  <c r="AN16" i="1"/>
  <c r="BD16" i="1"/>
  <c r="BT16" i="1"/>
  <c r="S14" i="1"/>
  <c r="AI14" i="1"/>
  <c r="AY14" i="1"/>
  <c r="BO14" i="1"/>
  <c r="N12" i="1"/>
  <c r="AD12" i="1"/>
  <c r="AT12" i="1"/>
  <c r="BJ12" i="1"/>
  <c r="BZ12" i="1"/>
  <c r="M22" i="1"/>
  <c r="BN22" i="1"/>
  <c r="AX22" i="1"/>
  <c r="AH22" i="1"/>
  <c r="R22" i="1"/>
  <c r="X24" i="1"/>
  <c r="AN24" i="1"/>
  <c r="BD24" i="1"/>
  <c r="BT24" i="1"/>
  <c r="S20" i="1"/>
  <c r="AI20" i="1"/>
  <c r="AY20" i="1"/>
  <c r="BO20" i="1"/>
  <c r="N18" i="1"/>
  <c r="AD18" i="1"/>
  <c r="AT18" i="1"/>
  <c r="BJ18" i="1"/>
  <c r="BZ18" i="1"/>
  <c r="Y16" i="1"/>
  <c r="AO16" i="1"/>
  <c r="BE16" i="1"/>
  <c r="BU16" i="1"/>
  <c r="T14" i="1"/>
  <c r="AJ14" i="1"/>
  <c r="AZ14" i="1"/>
  <c r="BP14" i="1"/>
  <c r="O12" i="1"/>
  <c r="AE12" i="1"/>
  <c r="AU12" i="1"/>
  <c r="BK12" i="1"/>
  <c r="CA12" i="1"/>
  <c r="CC22" i="1"/>
  <c r="BM22" i="1"/>
  <c r="AW22" i="1"/>
  <c r="AG22" i="1"/>
  <c r="Y24" i="1"/>
  <c r="AO24" i="1"/>
  <c r="BE24" i="1"/>
  <c r="T20" i="1"/>
  <c r="AJ20" i="1"/>
  <c r="AZ20" i="1"/>
  <c r="BP20" i="1"/>
  <c r="O18" i="1"/>
  <c r="AE18" i="1"/>
  <c r="AU18" i="1"/>
  <c r="BK18" i="1"/>
  <c r="CA18" i="1"/>
  <c r="Z16" i="1"/>
  <c r="AP16" i="1"/>
  <c r="BF16" i="1"/>
  <c r="BV16" i="1"/>
  <c r="U14" i="1"/>
  <c r="AK14" i="1"/>
  <c r="BA14" i="1"/>
  <c r="BQ14" i="1"/>
  <c r="AF12" i="1"/>
  <c r="AV12" i="1"/>
  <c r="BL12" i="1"/>
  <c r="CB12" i="1"/>
  <c r="U20" i="1"/>
  <c r="AK20" i="1"/>
  <c r="BA20" i="1"/>
  <c r="P18" i="1"/>
  <c r="AF18" i="1"/>
  <c r="AV18" i="1"/>
  <c r="BL18" i="1"/>
  <c r="AA16" i="1"/>
  <c r="AQ16" i="1"/>
  <c r="BG16" i="1"/>
  <c r="V14" i="1"/>
  <c r="AL14" i="1"/>
  <c r="BB14" i="1"/>
  <c r="Q12" i="1"/>
  <c r="AG12" i="1"/>
  <c r="AW12" i="1"/>
  <c r="BM12" i="1"/>
  <c r="CA27" i="1" l="1"/>
  <c r="CA29" i="1" s="1"/>
  <c r="BJ27" i="1"/>
  <c r="BJ29" i="1" s="1"/>
  <c r="T27" i="1"/>
  <c r="AU27" i="1"/>
  <c r="AU29" i="1" s="1"/>
  <c r="CC27" i="1"/>
  <c r="CC29" i="1" s="1"/>
  <c r="CB27" i="1"/>
  <c r="CB29" i="1" s="1"/>
  <c r="AV27" i="1"/>
  <c r="AV29" i="1" s="1"/>
  <c r="Y27" i="1"/>
  <c r="BK27" i="1"/>
  <c r="BK29" i="1" s="1"/>
  <c r="AT27" i="1"/>
  <c r="AT29" i="1" s="1"/>
  <c r="BF27" i="1"/>
  <c r="BF29" i="1" s="1"/>
  <c r="AC27" i="1"/>
  <c r="AB27" i="1"/>
  <c r="BQ27" i="1"/>
  <c r="BQ29" i="1" s="1"/>
  <c r="BA27" i="1"/>
  <c r="BA29" i="1" s="1"/>
  <c r="AK27" i="1"/>
  <c r="AK29" i="1" s="1"/>
  <c r="AG27" i="1"/>
  <c r="AG29" i="1" s="1"/>
  <c r="BL27" i="1"/>
  <c r="BL29" i="1" s="1"/>
  <c r="O27" i="1"/>
  <c r="BB27" i="1"/>
  <c r="BB29" i="1" s="1"/>
  <c r="U27" i="1"/>
  <c r="CD14" i="1"/>
  <c r="BR27" i="1"/>
  <c r="BR29" i="1" s="1"/>
  <c r="BU27" i="1"/>
  <c r="BU29" i="1" s="1"/>
  <c r="AL27" i="1"/>
  <c r="AL29" i="1" s="1"/>
  <c r="AW27" i="1"/>
  <c r="AW29" i="1" s="1"/>
  <c r="AF27" i="1"/>
  <c r="AF29" i="1" s="1"/>
  <c r="BE27" i="1"/>
  <c r="BE29" i="1" s="1"/>
  <c r="BS27" i="1"/>
  <c r="BS29" i="1" s="1"/>
  <c r="V27" i="1"/>
  <c r="CD16" i="1"/>
  <c r="N27" i="1"/>
  <c r="Q27" i="1"/>
  <c r="P27" i="1"/>
  <c r="BV27" i="1"/>
  <c r="BV29" i="1" s="1"/>
  <c r="AO27" i="1"/>
  <c r="AO29" i="1" s="1"/>
  <c r="BC27" i="1"/>
  <c r="BC29" i="1" s="1"/>
  <c r="BN27" i="1"/>
  <c r="BN29" i="1" s="1"/>
  <c r="CD24" i="1"/>
  <c r="CD12" i="1"/>
  <c r="M27" i="1"/>
  <c r="M29" i="1" s="1"/>
  <c r="BW27" i="1"/>
  <c r="BW29" i="1" s="1"/>
  <c r="AP27" i="1"/>
  <c r="AP29" i="1" s="1"/>
  <c r="W27" i="1"/>
  <c r="R27" i="1"/>
  <c r="BX27" i="1"/>
  <c r="BX29" i="1" s="1"/>
  <c r="AQ27" i="1"/>
  <c r="AQ29" i="1" s="1"/>
  <c r="BT27" i="1"/>
  <c r="BT29" i="1" s="1"/>
  <c r="AY27" i="1"/>
  <c r="AY29" i="1" s="1"/>
  <c r="AD27" i="1"/>
  <c r="AD29" i="1" s="1"/>
  <c r="Z27" i="1"/>
  <c r="BH27" i="1"/>
  <c r="BH29" i="1" s="1"/>
  <c r="AA27" i="1"/>
  <c r="BD27" i="1"/>
  <c r="BD29" i="1" s="1"/>
  <c r="AI27" i="1"/>
  <c r="AI29" i="1" s="1"/>
  <c r="CD20" i="1"/>
  <c r="BY27" i="1"/>
  <c r="BY29" i="1" s="1"/>
  <c r="AR27" i="1"/>
  <c r="AR29" i="1" s="1"/>
  <c r="AN27" i="1"/>
  <c r="AN29" i="1" s="1"/>
  <c r="AX27" i="1"/>
  <c r="AX29" i="1" s="1"/>
  <c r="S27" i="1"/>
  <c r="BM27" i="1"/>
  <c r="BM29" i="1" s="1"/>
  <c r="AH27" i="1"/>
  <c r="AH29" i="1" s="1"/>
  <c r="BI27" i="1"/>
  <c r="BI29" i="1" s="1"/>
  <c r="X27" i="1"/>
  <c r="BP27" i="1"/>
  <c r="BP29" i="1" s="1"/>
  <c r="CD18" i="1"/>
  <c r="AE27" i="1"/>
  <c r="AE29" i="1" s="1"/>
  <c r="AM27" i="1"/>
  <c r="AM29" i="1" s="1"/>
  <c r="BG27" i="1"/>
  <c r="BG29" i="1" s="1"/>
  <c r="BO27" i="1"/>
  <c r="BO29" i="1" s="1"/>
  <c r="CD22" i="1"/>
  <c r="BZ27" i="1"/>
  <c r="BZ29" i="1" s="1"/>
  <c r="AS27" i="1"/>
  <c r="AS29" i="1" s="1"/>
  <c r="AZ27" i="1"/>
  <c r="AZ29" i="1" s="1"/>
  <c r="AJ27" i="1"/>
  <c r="AJ29" i="1" s="1"/>
  <c r="N29" i="1" l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CD27" i="1"/>
  <c r="J37" i="1" s="1"/>
  <c r="J51" i="1" s="1"/>
  <c r="J45" i="1" l="1"/>
  <c r="J46" i="1"/>
  <c r="J47" i="1"/>
  <c r="J44" i="1"/>
  <c r="J48" i="1" l="1"/>
  <c r="J50" i="1" s="1"/>
</calcChain>
</file>

<file path=xl/sharedStrings.xml><?xml version="1.0" encoding="utf-8"?>
<sst xmlns="http://schemas.openxmlformats.org/spreadsheetml/2006/main" count="77" uniqueCount="41">
  <si>
    <t>Phase</t>
  </si>
  <si>
    <t>PD</t>
  </si>
  <si>
    <t>CD</t>
  </si>
  <si>
    <t>Construction</t>
  </si>
  <si>
    <t>Start Date</t>
  </si>
  <si>
    <t>End Date</t>
  </si>
  <si>
    <t>Francisco Parisi</t>
  </si>
  <si>
    <t>Project Manager</t>
  </si>
  <si>
    <t>Erik Okstad</t>
  </si>
  <si>
    <t>Project Engineer</t>
  </si>
  <si>
    <t>Staff Engineer</t>
  </si>
  <si>
    <t>BIM Manager</t>
  </si>
  <si>
    <t>Employee</t>
  </si>
  <si>
    <t>Position</t>
  </si>
  <si>
    <t>Hourly Rate</t>
  </si>
  <si>
    <t>Jorge Moreno</t>
  </si>
  <si>
    <t>Hours / Month</t>
  </si>
  <si>
    <t>Percentage</t>
  </si>
  <si>
    <t>Legend - Weekly Percentage</t>
  </si>
  <si>
    <t>Nelson Chen</t>
  </si>
  <si>
    <t>CEO</t>
  </si>
  <si>
    <t>Realization Rate</t>
  </si>
  <si>
    <t>* End dates are inclusive. Format as Month/1/Year</t>
  </si>
  <si>
    <t>Monthly Spend:</t>
  </si>
  <si>
    <t>Cumulative Spend :</t>
  </si>
  <si>
    <t>Estimated Cost</t>
  </si>
  <si>
    <t>Building Area</t>
  </si>
  <si>
    <t>Unit Cost ($/sf)</t>
  </si>
  <si>
    <t>Permitting</t>
  </si>
  <si>
    <t>Total</t>
  </si>
  <si>
    <t>%Fee/Const Cost</t>
  </si>
  <si>
    <t>Construction Cost</t>
  </si>
  <si>
    <t>R+C Fee ($/sf)</t>
  </si>
  <si>
    <t>Total Cost ($/sf)</t>
  </si>
  <si>
    <t>Show 7 phases</t>
  </si>
  <si>
    <t>Validation</t>
  </si>
  <si>
    <t>Schematics</t>
  </si>
  <si>
    <t>DD</t>
  </si>
  <si>
    <t>CA</t>
  </si>
  <si>
    <t>Record Docs</t>
  </si>
  <si>
    <t>Dave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</si>
</sst>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[$-409]d\-mmm\-yy;@"/>
    <numFmt numFmtId="165" formatCode="[$-409]mmm\-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sz val="11"/>
      <color rgb="FFFF0000"/>
      <name val="Century Gothic"/>
      <family val="2"/>
    </font>
    <font>
      <sz val="11"/>
      <color theme="1"/>
      <name val="Calibri"/>
      <family val="2"/>
      <scheme val="minor"/>
    </font>
    <font>
      <b/>
      <sz val="11"/>
      <color theme="0"/>
      <name val="Century Gothic"/>
      <family val="2"/>
    </font>
    <font>
      <sz val="11"/>
      <color theme="0" tint="-0.34998626667073579"/>
      <name val="Century Gothic"/>
      <family val="2"/>
    </font>
    <font>
      <b/>
      <i/>
      <sz val="11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dashDot">
        <color rgb="FFC00000"/>
      </left>
      <right/>
      <top style="thin">
        <color indexed="64"/>
      </top>
      <bottom/>
      <diagonal/>
    </border>
    <border>
      <left style="dashDot">
        <color rgb="FFC00000"/>
      </left>
      <right/>
      <top/>
      <bottom style="thin">
        <color indexed="64"/>
      </bottom>
      <diagonal/>
    </border>
    <border>
      <left style="dashDot">
        <color rgb="FFC00000"/>
      </left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0" borderId="0" xfId="0" applyFont="1"/>
    <xf numFmtId="164" fontId="1" fillId="0" borderId="0" xfId="0" applyNumberFormat="1" applyFont="1"/>
    <xf numFmtId="0" fontId="3" fillId="0" borderId="0" xfId="0" applyFont="1"/>
    <xf numFmtId="0" fontId="4" fillId="0" borderId="0" xfId="0" applyFont="1"/>
    <xf numFmtId="0" fontId="1" fillId="2" borderId="0" xfId="0" applyFont="1" applyFill="1"/>
    <xf numFmtId="165" fontId="1" fillId="2" borderId="0" xfId="0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/>
    <xf numFmtId="9" fontId="3" fillId="0" borderId="0" xfId="0" applyNumberFormat="1" applyFont="1" applyAlignment="1">
      <alignment vertical="center"/>
    </xf>
    <xf numFmtId="0" fontId="1" fillId="0" borderId="1" xfId="0" applyFont="1" applyBorder="1"/>
    <xf numFmtId="8" fontId="4" fillId="0" borderId="0" xfId="0" applyNumberFormat="1" applyFont="1"/>
    <xf numFmtId="0" fontId="4" fillId="2" borderId="0" xfId="0" applyFont="1" applyFill="1"/>
    <xf numFmtId="8" fontId="4" fillId="2" borderId="0" xfId="0" applyNumberFormat="1" applyFont="1" applyFill="1"/>
    <xf numFmtId="165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8" fontId="4" fillId="0" borderId="0" xfId="0" applyNumberFormat="1" applyFont="1" applyAlignment="1">
      <alignment horizontal="center"/>
    </xf>
    <xf numFmtId="9" fontId="1" fillId="2" borderId="0" xfId="0" applyNumberFormat="1" applyFont="1" applyFill="1" applyAlignment="1">
      <alignment horizontal="center"/>
    </xf>
    <xf numFmtId="9" fontId="1" fillId="0" borderId="0" xfId="1" applyFont="1"/>
    <xf numFmtId="0" fontId="5" fillId="2" borderId="0" xfId="0" applyFont="1" applyFill="1"/>
    <xf numFmtId="0" fontId="1" fillId="0" borderId="2" xfId="0" applyFont="1" applyBorder="1"/>
    <xf numFmtId="0" fontId="0" fillId="0" borderId="2" xfId="0" applyBorder="1"/>
    <xf numFmtId="9" fontId="1" fillId="0" borderId="0" xfId="1" applyFont="1" applyBorder="1"/>
    <xf numFmtId="8" fontId="4" fillId="0" borderId="2" xfId="0" applyNumberFormat="1" applyFont="1" applyBorder="1"/>
    <xf numFmtId="9" fontId="8" fillId="0" borderId="0" xfId="1" applyFont="1" applyBorder="1" applyAlignment="1">
      <alignment horizontal="center" vertical="center"/>
    </xf>
    <xf numFmtId="165" fontId="7" fillId="3" borderId="0" xfId="0" applyNumberFormat="1" applyFont="1" applyFill="1" applyAlignment="1">
      <alignment horizontal="center"/>
    </xf>
    <xf numFmtId="0" fontId="1" fillId="0" borderId="2" xfId="0" applyFont="1" applyBorder="1" applyAlignment="1">
      <alignment horizontal="center"/>
    </xf>
    <xf numFmtId="9" fontId="8" fillId="0" borderId="0" xfId="1" applyFont="1" applyAlignment="1">
      <alignment horizontal="center" vertical="center"/>
    </xf>
    <xf numFmtId="9" fontId="1" fillId="0" borderId="1" xfId="1" applyFont="1" applyBorder="1"/>
    <xf numFmtId="0" fontId="3" fillId="0" borderId="1" xfId="0" applyFont="1" applyBorder="1"/>
    <xf numFmtId="8" fontId="4" fillId="0" borderId="1" xfId="0" applyNumberFormat="1" applyFont="1" applyBorder="1"/>
    <xf numFmtId="165" fontId="1" fillId="0" borderId="1" xfId="0" applyNumberFormat="1" applyFont="1" applyBorder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 vertical="center"/>
    </xf>
    <xf numFmtId="8" fontId="1" fillId="0" borderId="2" xfId="0" applyNumberFormat="1" applyFont="1" applyBorder="1" applyAlignment="1">
      <alignment horizontal="center" vertical="center"/>
    </xf>
    <xf numFmtId="8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3" xfId="0" applyBorder="1"/>
    <xf numFmtId="8" fontId="1" fillId="0" borderId="4" xfId="0" applyNumberFormat="1" applyFont="1" applyBorder="1" applyAlignment="1">
      <alignment horizontal="center" vertical="center"/>
    </xf>
    <xf numFmtId="0" fontId="0" fillId="0" borderId="5" xfId="0" applyBorder="1"/>
    <xf numFmtId="8" fontId="4" fillId="0" borderId="5" xfId="0" applyNumberFormat="1" applyFont="1" applyBorder="1" applyAlignment="1">
      <alignment horizontal="center" vertical="center"/>
    </xf>
    <xf numFmtId="10" fontId="4" fillId="0" borderId="0" xfId="1" applyNumberFormat="1" applyFont="1" applyFill="1"/>
    <xf numFmtId="2" fontId="4" fillId="0" borderId="0" xfId="0" applyNumberFormat="1" applyFont="1"/>
    <xf numFmtId="8" fontId="4" fillId="0" borderId="2" xfId="0" applyNumberFormat="1" applyFont="1" applyBorder="1" applyAlignment="1">
      <alignment horizontal="center" vertical="center"/>
    </xf>
    <xf numFmtId="8" fontId="3" fillId="0" borderId="0" xfId="0" applyNumberFormat="1" applyFont="1" applyAlignment="1">
      <alignment horizontal="center" vertical="center"/>
    </xf>
    <xf numFmtId="9" fontId="4" fillId="2" borderId="0" xfId="0" applyNumberFormat="1" applyFont="1" applyFill="1" applyAlignment="1">
      <alignment horizontal="center"/>
    </xf>
    <xf numFmtId="9" fontId="4" fillId="2" borderId="2" xfId="0" applyNumberFormat="1" applyFont="1" applyFill="1" applyBorder="1" applyAlignment="1">
      <alignment horizontal="center"/>
    </xf>
    <xf numFmtId="0" fontId="4" fillId="2" borderId="2" xfId="0" applyFont="1" applyFill="1" applyBorder="1"/>
    <xf numFmtId="3" fontId="4" fillId="2" borderId="0" xfId="0" applyNumberFormat="1" applyFont="1" applyFill="1" applyAlignment="1">
      <alignment horizontal="center" vertical="center"/>
    </xf>
    <xf numFmtId="10" fontId="4" fillId="0" borderId="0" xfId="1" applyNumberFormat="1" applyFont="1" applyFill="1" applyAlignment="1">
      <alignment horizontal="center"/>
    </xf>
    <xf numFmtId="9" fontId="4" fillId="0" borderId="0" xfId="1" applyFont="1" applyAlignment="1">
      <alignment horizontal="center" vertical="center"/>
    </xf>
    <xf numFmtId="9" fontId="1" fillId="0" borderId="0" xfId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204106</xdr:rowOff>
    </xdr:from>
    <xdr:to>
      <xdr:col>1</xdr:col>
      <xdr:colOff>226841</xdr:colOff>
      <xdr:row>11</xdr:row>
      <xdr:rowOff>144806</xdr:rowOff>
    </xdr:to>
    <xdr:sp macro="[0]!GenerateDateS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5BEEA00-8D91-5724-04D2-BB82E84599B4}"/>
            </a:ext>
          </a:extLst>
        </xdr:cNvPr>
        <xdr:cNvSpPr/>
      </xdr:nvSpPr>
      <xdr:spPr>
        <a:xfrm>
          <a:off x="0" y="1428749"/>
          <a:ext cx="1360715" cy="340179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Century Gothic" panose="020B0502020202020204" pitchFamily="34" charset="0"/>
            </a:rPr>
            <a:t>Create</a:t>
          </a:r>
          <a:r>
            <a:rPr lang="en-US" sz="1050" b="1" baseline="0">
              <a:latin typeface="Century Gothic" panose="020B0502020202020204" pitchFamily="34" charset="0"/>
            </a:rPr>
            <a:t> Headers</a:t>
          </a:r>
          <a:endParaRPr lang="en-US" sz="1050" b="1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</xdr:col>
      <xdr:colOff>612322</xdr:colOff>
      <xdr:row>9</xdr:row>
      <xdr:rowOff>204106</xdr:rowOff>
    </xdr:from>
    <xdr:to>
      <xdr:col>2</xdr:col>
      <xdr:colOff>685649</xdr:colOff>
      <xdr:row>11</xdr:row>
      <xdr:rowOff>144806</xdr:rowOff>
    </xdr:to>
    <xdr:sp macro="[0]!ClearDa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A916C2A-6F7C-2A79-5F63-6F98C6848E7F}"/>
            </a:ext>
          </a:extLst>
        </xdr:cNvPr>
        <xdr:cNvSpPr/>
      </xdr:nvSpPr>
      <xdr:spPr>
        <a:xfrm>
          <a:off x="1578429" y="1428749"/>
          <a:ext cx="1360715" cy="340179"/>
        </a:xfrm>
        <a:prstGeom prst="roundRect">
          <a:avLst/>
        </a:prstGeom>
        <a:solidFill>
          <a:schemeClr val="bg1">
            <a:lumMod val="65000"/>
          </a:schemeClr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Century Gothic" panose="020B0502020202020204" pitchFamily="34" charset="0"/>
            </a:rPr>
            <a:t>Clear</a:t>
          </a:r>
          <a:r>
            <a:rPr lang="en-US" sz="1050" b="1" baseline="0">
              <a:latin typeface="Century Gothic" panose="020B0502020202020204" pitchFamily="34" charset="0"/>
            </a:rPr>
            <a:t> Headers</a:t>
          </a:r>
          <a:endParaRPr lang="en-US" sz="1050" b="1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22</xdr:row>
      <xdr:rowOff>169554</xdr:rowOff>
    </xdr:from>
    <xdr:to>
      <xdr:col>1</xdr:col>
      <xdr:colOff>226841</xdr:colOff>
      <xdr:row>24</xdr:row>
      <xdr:rowOff>95547</xdr:rowOff>
    </xdr:to>
    <xdr:sp macro="[0]!EmployeeSchedu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5231BE-56D5-3D6D-816D-20415CFA1C14}"/>
            </a:ext>
          </a:extLst>
        </xdr:cNvPr>
        <xdr:cNvSpPr/>
      </xdr:nvSpPr>
      <xdr:spPr>
        <a:xfrm>
          <a:off x="0" y="4326936"/>
          <a:ext cx="1448282" cy="302270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Century Gothic" panose="020B0502020202020204" pitchFamily="34" charset="0"/>
            </a:rPr>
            <a:t>Create</a:t>
          </a:r>
          <a:r>
            <a:rPr lang="en-US" sz="1050" b="1" baseline="0">
              <a:latin typeface="Century Gothic" panose="020B0502020202020204" pitchFamily="34" charset="0"/>
            </a:rPr>
            <a:t> Schedule</a:t>
          </a:r>
          <a:endParaRPr lang="en-US" sz="1050" b="1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</xdr:col>
      <xdr:colOff>627530</xdr:colOff>
      <xdr:row>22</xdr:row>
      <xdr:rowOff>123265</xdr:rowOff>
    </xdr:from>
    <xdr:to>
      <xdr:col>2</xdr:col>
      <xdr:colOff>702973</xdr:colOff>
      <xdr:row>24</xdr:row>
      <xdr:rowOff>65441</xdr:rowOff>
    </xdr:to>
    <xdr:sp macro="[0]!Clear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718E07-DAD9-4701-9C95-D84D0AAAF29D}"/>
            </a:ext>
          </a:extLst>
        </xdr:cNvPr>
        <xdr:cNvSpPr/>
      </xdr:nvSpPr>
      <xdr:spPr>
        <a:xfrm>
          <a:off x="1848971" y="4280647"/>
          <a:ext cx="1467090" cy="329974"/>
        </a:xfrm>
        <a:prstGeom prst="roundRect">
          <a:avLst/>
        </a:prstGeom>
        <a:solidFill>
          <a:schemeClr val="bg1">
            <a:lumMod val="65000"/>
          </a:schemeClr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Century Gothic" panose="020B0502020202020204" pitchFamily="34" charset="0"/>
            </a:rPr>
            <a:t>Clear</a:t>
          </a:r>
          <a:r>
            <a:rPr lang="en-US" sz="1050" b="1" baseline="0">
              <a:latin typeface="Century Gothic" panose="020B0502020202020204" pitchFamily="34" charset="0"/>
            </a:rPr>
            <a:t> Schedule</a:t>
          </a:r>
          <a:endParaRPr lang="en-US" sz="1050" b="1">
            <a:latin typeface="Century Gothic" panose="020B0502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F11AB-42DA-4575-91B1-61A8B85C60F1}">
  <sheetPr codeName="Sheet1"/>
  <dimension ref="A1:CD61"/>
  <sheetViews>
    <sheetView tabSelected="1" zoomScale="85" zoomScaleNormal="85" workbookViewId="0">
      <selection activeCell="M2" sqref="M2"/>
    </sheetView>
  </sheetViews>
  <sheetFormatPr baseColWidth="10" defaultColWidth="9.1640625" defaultRowHeight="14" x14ac:dyDescent="0.15"/>
  <cols>
    <col min="1" max="1" width="16.83203125" style="1" customWidth="1"/>
    <col min="2" max="2" width="19.33203125" style="1" customWidth="1"/>
    <col min="3" max="3" width="14" style="1" customWidth="1"/>
    <col min="4" max="8" width="14.5" style="1" customWidth="1"/>
    <col min="9" max="10" width="17.83203125" style="1" customWidth="1"/>
    <col min="11" max="11" width="21.33203125" style="1" customWidth="1"/>
    <col min="12" max="12" width="5" style="1" customWidth="1"/>
    <col min="13" max="81" width="16.5" style="8" customWidth="1"/>
    <col min="82" max="82" width="17.6640625" style="8" customWidth="1"/>
    <col min="83" max="16384" width="9.1640625" style="8"/>
  </cols>
  <sheetData>
    <row r="1" spans="1:82" s="18" customFormat="1" ht="15" x14ac:dyDescent="0.2">
      <c r="A1" s="35" t="s">
        <v>22</v>
      </c>
      <c r="B1" s="1"/>
      <c r="C1" s="1"/>
      <c r="D1" s="1"/>
      <c r="E1" s="1"/>
      <c r="F1" s="1"/>
      <c r="G1" s="1"/>
      <c r="H1" s="13"/>
      <c r="I1" s="1"/>
      <c r="J1" s="1"/>
      <c r="K1" s="1"/>
      <c r="L1" s="1"/>
    </row>
    <row r="2" spans="1:82" customFormat="1" ht="15" x14ac:dyDescent="0.2">
      <c r="A2" s="2" t="s">
        <v>0</v>
      </c>
      <c r="B2" s="2" t="s">
        <v>4</v>
      </c>
      <c r="C2" s="2" t="s">
        <v>5</v>
      </c>
      <c r="D2" s="1"/>
      <c r="E2" s="1"/>
      <c r="F2" s="1"/>
      <c r="G2" s="1"/>
      <c r="H2" s="13"/>
      <c r="I2" s="1"/>
      <c r="J2" s="1"/>
      <c r="K2" s="1"/>
      <c r="L2" s="1"/>
      <c r="M2" s="28" t="s">
        <v>35</v>
      </c>
      <c r="N2" s="28" t="s">
        <v>35</v>
      </c>
      <c r="O2" s="28" t="s">
        <v>35</v>
      </c>
      <c r="P2" s="28" t="s">
        <v>35</v>
      </c>
      <c r="Q2" s="28" t="s">
        <v>35</v>
      </c>
      <c r="R2" s="28" t="s">
        <v>36</v>
      </c>
      <c r="S2" s="28" t="s">
        <v>36</v>
      </c>
      <c r="T2" s="28" t="s">
        <v>36</v>
      </c>
      <c r="U2" s="28" t="s">
        <v>37</v>
      </c>
      <c r="V2" s="28" t="s">
        <v>37</v>
      </c>
      <c r="W2" s="28" t="s">
        <v>37</v>
      </c>
      <c r="X2" s="28" t="s">
        <v>37</v>
      </c>
      <c r="Y2" s="28" t="s">
        <v>2</v>
      </c>
      <c r="Z2" s="28" t="s">
        <v>2</v>
      </c>
      <c r="AA2" s="28" t="s">
        <v>2</v>
      </c>
      <c r="AB2" s="28" t="s">
        <v>28</v>
      </c>
      <c r="AC2" s="28" t="s">
        <v>38</v>
      </c>
      <c r="AD2" s="28" t="s">
        <v>38</v>
      </c>
      <c r="AE2" s="28" t="s">
        <v>38</v>
      </c>
      <c r="AF2" s="28" t="s">
        <v>38</v>
      </c>
      <c r="AG2" s="28" t="s">
        <v>39</v>
      </c>
      <c r="AH2" s="28" t="s">
        <v>39</v>
      </c>
      <c r="AI2" s="28" t="s">
        <v>39</v>
      </c>
    </row>
    <row r="3" spans="1:82" customFormat="1" ht="15" x14ac:dyDescent="0.2">
      <c r="A3" s="6" t="s">
        <v>35</v>
      </c>
      <c r="B3" s="7">
        <v>45200</v>
      </c>
      <c r="C3" s="7">
        <v>45323</v>
      </c>
      <c r="D3" s="1"/>
      <c r="E3" s="2" t="s">
        <v>34</v>
      </c>
      <c r="F3" s="1"/>
      <c r="G3" s="1"/>
      <c r="H3" s="13"/>
      <c r="I3" s="1"/>
      <c r="J3" s="1"/>
      <c r="K3" s="1"/>
      <c r="L3" s="1"/>
      <c r="M3" s="28">
        <v>45200</v>
      </c>
      <c r="N3" s="28">
        <v>45231</v>
      </c>
      <c r="O3" s="28">
        <v>45261</v>
      </c>
      <c r="P3" s="28">
        <v>45292</v>
      </c>
      <c r="Q3" s="28">
        <v>45323</v>
      </c>
      <c r="R3" s="28">
        <v>45352</v>
      </c>
      <c r="S3" s="28">
        <v>45383</v>
      </c>
      <c r="T3" s="28">
        <v>45413</v>
      </c>
      <c r="U3" s="28">
        <v>45444</v>
      </c>
      <c r="V3" s="28">
        <v>45474</v>
      </c>
      <c r="W3" s="28">
        <v>45505</v>
      </c>
      <c r="X3" s="28">
        <v>45536</v>
      </c>
      <c r="Y3" s="28">
        <v>45566</v>
      </c>
      <c r="Z3" s="28">
        <v>45597</v>
      </c>
      <c r="AA3" s="28">
        <v>45627</v>
      </c>
      <c r="AB3" s="28">
        <v>45658</v>
      </c>
      <c r="AC3" s="28">
        <v>45689</v>
      </c>
      <c r="AD3" s="28">
        <v>45717</v>
      </c>
      <c r="AE3" s="28">
        <v>45748</v>
      </c>
      <c r="AF3" s="28">
        <v>45778</v>
      </c>
      <c r="AG3" s="28">
        <v>45809</v>
      </c>
      <c r="AH3" s="28">
        <v>45839</v>
      </c>
      <c r="AI3" s="28">
        <v>45870</v>
      </c>
    </row>
    <row r="4" spans="1:82" customFormat="1" ht="15" x14ac:dyDescent="0.2">
      <c r="A4" s="6" t="s">
        <v>36</v>
      </c>
      <c r="B4" s="7">
        <v>45352</v>
      </c>
      <c r="C4" s="7">
        <v>45413</v>
      </c>
      <c r="D4" s="1"/>
      <c r="E4" s="1"/>
      <c r="F4" s="1"/>
      <c r="G4" s="1"/>
      <c r="H4" s="13"/>
      <c r="I4" s="1"/>
      <c r="J4" s="1"/>
      <c r="K4" s="9" t="s">
        <v>21</v>
      </c>
      <c r="L4" s="1"/>
      <c r="M4" s="8">
        <v>3</v>
      </c>
      <c r="N4" s="8">
        <v>3</v>
      </c>
      <c r="O4" s="8">
        <v>3</v>
      </c>
      <c r="P4" s="8">
        <v>3</v>
      </c>
      <c r="Q4" s="8">
        <v>3</v>
      </c>
      <c r="R4" s="8">
        <v>3</v>
      </c>
      <c r="S4" s="8">
        <v>3</v>
      </c>
      <c r="T4" s="8">
        <v>3</v>
      </c>
      <c r="U4" s="8">
        <v>3</v>
      </c>
      <c r="V4" s="8">
        <v>3</v>
      </c>
      <c r="W4" s="8">
        <v>3</v>
      </c>
      <c r="X4" s="8">
        <v>3</v>
      </c>
      <c r="Y4" s="8">
        <v>3</v>
      </c>
      <c r="Z4" s="8">
        <v>3</v>
      </c>
      <c r="AA4" s="8">
        <v>3</v>
      </c>
      <c r="AB4" s="8">
        <v>3</v>
      </c>
      <c r="AC4" s="8">
        <v>3</v>
      </c>
      <c r="AD4" s="8">
        <v>3</v>
      </c>
      <c r="AE4" s="8">
        <v>3</v>
      </c>
      <c r="AF4" s="8">
        <v>3</v>
      </c>
      <c r="AG4" s="8">
        <v>3</v>
      </c>
      <c r="AH4" s="8">
        <v>3</v>
      </c>
      <c r="AI4" s="8">
        <v>3</v>
      </c>
    </row>
    <row r="5" spans="1:82" customFormat="1" ht="15" x14ac:dyDescent="0.2">
      <c r="A5" s="6" t="s">
        <v>37</v>
      </c>
      <c r="B5" s="7">
        <v>45444</v>
      </c>
      <c r="C5" s="7">
        <v>45536</v>
      </c>
      <c r="D5" s="1"/>
      <c r="E5" s="1"/>
      <c r="F5" s="1"/>
      <c r="G5" s="1"/>
      <c r="H5" s="13"/>
      <c r="I5" s="1"/>
      <c r="J5" s="1"/>
      <c r="K5" s="4"/>
      <c r="L5" s="1"/>
    </row>
    <row r="6" spans="1:82" customFormat="1" ht="15" x14ac:dyDescent="0.2">
      <c r="A6" s="6" t="s">
        <v>2</v>
      </c>
      <c r="B6" s="7">
        <v>45566</v>
      </c>
      <c r="C6" s="7">
        <v>45627</v>
      </c>
      <c r="D6" s="1"/>
      <c r="E6" s="1"/>
      <c r="F6" s="1"/>
      <c r="G6" s="1"/>
      <c r="H6" s="13"/>
      <c r="I6" s="1"/>
      <c r="J6" s="1"/>
      <c r="K6" s="9" t="s">
        <v>16</v>
      </c>
      <c r="L6" s="1"/>
      <c r="M6" s="8">
        <v>173</v>
      </c>
      <c r="N6" s="8">
        <v>173</v>
      </c>
      <c r="O6" s="8">
        <v>173</v>
      </c>
      <c r="P6" s="8">
        <v>173</v>
      </c>
      <c r="Q6" s="8">
        <v>173</v>
      </c>
      <c r="R6" s="8">
        <v>173</v>
      </c>
      <c r="S6" s="8">
        <v>173</v>
      </c>
      <c r="T6" s="8">
        <v>173</v>
      </c>
      <c r="U6" s="8">
        <v>173</v>
      </c>
      <c r="V6" s="8">
        <v>173</v>
      </c>
      <c r="W6" s="8">
        <v>173</v>
      </c>
      <c r="X6" s="8">
        <v>173</v>
      </c>
      <c r="Y6" s="8">
        <v>173</v>
      </c>
      <c r="Z6" s="8">
        <v>173</v>
      </c>
      <c r="AA6" s="8">
        <v>173</v>
      </c>
      <c r="AB6" s="8">
        <v>173</v>
      </c>
      <c r="AC6" s="8">
        <v>173</v>
      </c>
      <c r="AD6" s="8">
        <v>173</v>
      </c>
      <c r="AE6" s="8">
        <v>173</v>
      </c>
      <c r="AF6" s="8">
        <v>173</v>
      </c>
      <c r="AG6" s="8">
        <v>173</v>
      </c>
      <c r="AH6" s="8">
        <v>173</v>
      </c>
      <c r="AI6" s="8">
        <v>173</v>
      </c>
    </row>
    <row r="7" spans="1:82" customFormat="1" ht="15" x14ac:dyDescent="0.2">
      <c r="A7" s="6" t="s">
        <v>28</v>
      </c>
      <c r="B7" s="7">
        <v>45658</v>
      </c>
      <c r="C7" s="7">
        <v>45658</v>
      </c>
      <c r="D7" s="1"/>
      <c r="E7" s="1"/>
      <c r="F7" s="1"/>
      <c r="G7" s="1"/>
      <c r="H7" s="13"/>
      <c r="I7" s="1"/>
      <c r="J7" s="1"/>
      <c r="K7" s="2"/>
      <c r="L7" s="1"/>
    </row>
    <row r="8" spans="1:82" customFormat="1" ht="15" x14ac:dyDescent="0.2">
      <c r="A8" s="6" t="s">
        <v>38</v>
      </c>
      <c r="B8" s="7">
        <v>45689</v>
      </c>
      <c r="C8" s="7">
        <v>45778</v>
      </c>
      <c r="D8" s="1"/>
      <c r="E8" s="1"/>
      <c r="F8" s="1"/>
      <c r="G8" s="1"/>
      <c r="H8" s="13"/>
      <c r="I8" s="10" t="s">
        <v>12</v>
      </c>
      <c r="J8" s="10" t="s">
        <v>13</v>
      </c>
      <c r="K8" s="9" t="s">
        <v>14</v>
      </c>
      <c r="L8" s="1"/>
    </row>
    <row r="9" spans="1:82" customFormat="1" ht="15" x14ac:dyDescent="0.2">
      <c r="A9" s="6" t="s">
        <v>39</v>
      </c>
      <c r="B9" s="7">
        <v>45809</v>
      </c>
      <c r="C9" s="7">
        <v>45870</v>
      </c>
      <c r="D9" s="1"/>
      <c r="E9" s="1"/>
      <c r="F9" s="1"/>
      <c r="G9" s="1"/>
      <c r="H9" s="3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</row>
    <row r="10" spans="1:82" customFormat="1" ht="15" x14ac:dyDescent="0.2">
      <c r="A10" s="1"/>
      <c r="B10" s="3"/>
      <c r="C10" s="3"/>
      <c r="D10" s="1"/>
      <c r="E10" s="1"/>
      <c r="F10" s="1"/>
      <c r="G10" s="1"/>
      <c r="H10" s="1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4"/>
    </row>
    <row r="11" spans="1:82" customFormat="1" ht="15" x14ac:dyDescent="0.2">
      <c r="A11" s="1"/>
      <c r="B11" s="3"/>
      <c r="C11" s="3"/>
      <c r="D11" s="1"/>
      <c r="E11" s="1"/>
      <c r="F11" s="1"/>
      <c r="G11" s="1"/>
      <c r="H11" s="13"/>
      <c r="I11" s="1"/>
      <c r="J11" s="1"/>
      <c r="K11" s="1"/>
      <c r="L11" s="25"/>
      <c r="M11" s="27">
        <v>0.10000000149011612</v>
      </c>
      <c r="N11" s="27">
        <v>0.10000000149011612</v>
      </c>
      <c r="O11" s="27">
        <v>0.10000000149011612</v>
      </c>
      <c r="P11" s="27">
        <v>0.10000000149011612</v>
      </c>
      <c r="Q11" s="27">
        <v>0.10000000149011612</v>
      </c>
      <c r="R11" s="27">
        <v>0.10000000149011612</v>
      </c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40"/>
    </row>
    <row r="12" spans="1:82" customFormat="1" ht="15" x14ac:dyDescent="0.2">
      <c r="A12" s="1"/>
      <c r="B12" s="3"/>
      <c r="C12" s="3"/>
      <c r="D12" s="1"/>
      <c r="E12" s="1"/>
      <c r="F12" s="1"/>
      <c r="G12" s="1"/>
      <c r="H12" s="13"/>
      <c r="I12" s="23" t="s">
        <v>40</v>
      </c>
      <c r="J12" s="29" t="str">
        <f xml:space="preserve"> IF(_xlfn.XLOOKUP(I12,$A$45:$A$58,$B$45:$B$58,999999,0) = 0, "", _xlfn.XLOOKUP(I12,$A$45:$A$58,$B$45:$B$58,999999,0))</f>
        <v>CEO</v>
      </c>
      <c r="K12" s="26">
        <f>IF(_xlfn.XLOOKUP(I12,$A$45:$A$58,$C$45:$C$58,999999,0) = 0, "", _xlfn.XLOOKUP(I12,$A$45:$A$58,$C$45:$C$58,999999,0))</f>
        <v>290</v>
      </c>
      <c r="L12" s="23"/>
      <c r="M12" s="37">
        <f xml:space="preserve"> IF( $K12 = "", "",  IF($K12 * M11 * M$4 * M$6 = 0, "", $K12 * M11 * M$4 * M$6))</f>
        <v>15051.000224277377</v>
      </c>
      <c r="N12" s="37">
        <f t="shared" ref="N12" si="0" xml:space="preserve"> IF( $K12 = "", "",  IF($K12 * N11 * N$4 * N$6 = 0, "", $K12 * N11 * N$4 * N$6))</f>
        <v>15051.000224277377</v>
      </c>
      <c r="O12" s="37">
        <f t="shared" ref="O12" si="1" xml:space="preserve"> IF( $K12 = "", "",  IF($K12 * O11 * O$4 * O$6 = 0, "", $K12 * O11 * O$4 * O$6))</f>
        <v>15051.000224277377</v>
      </c>
      <c r="P12" s="37">
        <f xml:space="preserve"> IF( $K12 = "", "",  IF($K12 * P11 * P$4 * P$6 = 0, "", $K12 * P11 * P$4 * P$6))</f>
        <v>15051.000224277377</v>
      </c>
      <c r="Q12" s="37">
        <f t="shared" ref="Q12" si="2" xml:space="preserve"> IF( $K12 = "", "",  IF($K12 * Q11 * Q$4 * Q$6 = 0, "", $K12 * Q11 * Q$4 * Q$6))</f>
        <v>15051.000224277377</v>
      </c>
      <c r="R12" s="37">
        <f t="shared" ref="R12" si="3" xml:space="preserve"> IF( $K12 = "", "",  IF($K12 * R11 * R$4 * R$6 = 0, "", $K12 * R11 * R$4 * R$6))</f>
        <v>15051.000224277377</v>
      </c>
      <c r="S12" s="37" t="str">
        <f t="shared" ref="S12" si="4" xml:space="preserve"> IF( $K12 = "", "",  IF($K12 * S11 * S$4 * S$6 = 0, "", $K12 * S11 * S$4 * S$6))</f>
        <v/>
      </c>
      <c r="T12" s="37" t="str">
        <f t="shared" ref="T12" si="5" xml:space="preserve"> IF( $K12 = "", "",  IF($K12 * T11 * T$4 * T$6 = 0, "", $K12 * T11 * T$4 * T$6))</f>
        <v/>
      </c>
      <c r="U12" s="37" t="str">
        <f t="shared" ref="U12" si="6" xml:space="preserve"> IF( $K12 = "", "",  IF($K12 * U11 * U$4 * U$6 = 0, "", $K12 * U11 * U$4 * U$6))</f>
        <v/>
      </c>
      <c r="V12" s="37" t="str">
        <f t="shared" ref="V12" si="7" xml:space="preserve"> IF( $K12 = "", "",  IF($K12 * V11 * V$4 * V$6 = 0, "", $K12 * V11 * V$4 * V$6))</f>
        <v/>
      </c>
      <c r="W12" s="37" t="str">
        <f t="shared" ref="W12" si="8" xml:space="preserve"> IF( $K12 = "", "",  IF($K12 * W11 * W$4 * W$6 = 0, "", $K12 * W11 * W$4 * W$6))</f>
        <v/>
      </c>
      <c r="X12" s="37" t="str">
        <f t="shared" ref="X12" si="9" xml:space="preserve"> IF( $K12 = "", "",  IF($K12 * X11 * X$4 * X$6 = 0, "", $K12 * X11 * X$4 * X$6))</f>
        <v/>
      </c>
      <c r="Y12" s="37" t="str">
        <f t="shared" ref="Y12" si="10" xml:space="preserve"> IF( $K12 = "", "",  IF($K12 * Y11 * Y$4 * Y$6 = 0, "", $K12 * Y11 * Y$4 * Y$6))</f>
        <v/>
      </c>
      <c r="Z12" s="37" t="str">
        <f t="shared" ref="Z12" si="11" xml:space="preserve"> IF( $K12 = "", "",  IF($K12 * Z11 * Z$4 * Z$6 = 0, "", $K12 * Z11 * Z$4 * Z$6))</f>
        <v/>
      </c>
      <c r="AA12" s="37" t="str">
        <f t="shared" ref="AA12" si="12" xml:space="preserve"> IF( $K12 = "", "",  IF($K12 * AA11 * AA$4 * AA$6 = 0, "", $K12 * AA11 * AA$4 * AA$6))</f>
        <v/>
      </c>
      <c r="AB12" s="37" t="str">
        <f t="shared" ref="AB12" si="13" xml:space="preserve"> IF( $K12 = "", "",  IF($K12 * AB11 * AB$4 * AB$6 = 0, "", $K12 * AB11 * AB$4 * AB$6))</f>
        <v/>
      </c>
      <c r="AC12" s="37" t="str">
        <f t="shared" ref="AC12" si="14" xml:space="preserve"> IF( $K12 = "", "",  IF($K12 * AC11 * AC$4 * AC$6 = 0, "", $K12 * AC11 * AC$4 * AC$6))</f>
        <v/>
      </c>
      <c r="AD12" s="37" t="str">
        <f t="shared" ref="AD12" si="15" xml:space="preserve"> IF( $K12 = "", "",  IF($K12 * AD11 * AD$4 * AD$6 = 0, "", $K12 * AD11 * AD$4 * AD$6))</f>
        <v/>
      </c>
      <c r="AE12" s="37" t="str">
        <f t="shared" ref="AE12" si="16" xml:space="preserve"> IF( $K12 = "", "",  IF($K12 * AE11 * AE$4 * AE$6 = 0, "", $K12 * AE11 * AE$4 * AE$6))</f>
        <v/>
      </c>
      <c r="AF12" s="37" t="str">
        <f t="shared" ref="AF12" si="17" xml:space="preserve"> IF( $K12 = "", "",  IF($K12 * AF11 * AF$4 * AF$6 = 0, "", $K12 * AF11 * AF$4 * AF$6))</f>
        <v/>
      </c>
      <c r="AG12" s="37" t="str">
        <f t="shared" ref="AG12" si="18" xml:space="preserve"> IF( $K12 = "", "",  IF($K12 * AG11 * AG$4 * AG$6 = 0, "", $K12 * AG11 * AG$4 * AG$6))</f>
        <v/>
      </c>
      <c r="AH12" s="37" t="str">
        <f t="shared" ref="AH12" si="19" xml:space="preserve"> IF( $K12 = "", "",  IF($K12 * AH11 * AH$4 * AH$6 = 0, "", $K12 * AH11 * AH$4 * AH$6))</f>
        <v/>
      </c>
      <c r="AI12" s="37" t="str">
        <f t="shared" ref="AI12" si="20" xml:space="preserve"> IF( $K12 = "", "",  IF($K12 * AI11 * AI$4 * AI$6 = 0, "", $K12 * AI11 * AI$4 * AI$6))</f>
        <v/>
      </c>
      <c r="AJ12" s="37" t="str">
        <f t="shared" ref="AJ12" si="21" xml:space="preserve"> IF( $K12 = "", "",  IF($K12 * AJ11 * AJ$4 * AJ$6 = 0, "", $K12 * AJ11 * AJ$4 * AJ$6))</f>
        <v/>
      </c>
      <c r="AK12" s="37" t="str">
        <f t="shared" ref="AK12" si="22" xml:space="preserve"> IF( $K12 = "", "",  IF($K12 * AK11 * AK$4 * AK$6 = 0, "", $K12 * AK11 * AK$4 * AK$6))</f>
        <v/>
      </c>
      <c r="AL12" s="37" t="str">
        <f t="shared" ref="AL12" si="23" xml:space="preserve"> IF( $K12 = "", "",  IF($K12 * AL11 * AL$4 * AL$6 = 0, "", $K12 * AL11 * AL$4 * AL$6))</f>
        <v/>
      </c>
      <c r="AM12" s="37" t="str">
        <f t="shared" ref="AM12" si="24" xml:space="preserve"> IF( $K12 = "", "",  IF($K12 * AM11 * AM$4 * AM$6 = 0, "", $K12 * AM11 * AM$4 * AM$6))</f>
        <v/>
      </c>
      <c r="AN12" s="37" t="str">
        <f t="shared" ref="AN12" si="25" xml:space="preserve"> IF( $K12 = "", "",  IF($K12 * AN11 * AN$4 * AN$6 = 0, "", $K12 * AN11 * AN$4 * AN$6))</f>
        <v/>
      </c>
      <c r="AO12" s="37" t="str">
        <f t="shared" ref="AO12" si="26" xml:space="preserve"> IF( $K12 = "", "",  IF($K12 * AO11 * AO$4 * AO$6 = 0, "", $K12 * AO11 * AO$4 * AO$6))</f>
        <v/>
      </c>
      <c r="AP12" s="37" t="str">
        <f t="shared" ref="AP12" si="27" xml:space="preserve"> IF( $K12 = "", "",  IF($K12 * AP11 * AP$4 * AP$6 = 0, "", $K12 * AP11 * AP$4 * AP$6))</f>
        <v/>
      </c>
      <c r="AQ12" s="37" t="str">
        <f t="shared" ref="AQ12" si="28" xml:space="preserve"> IF( $K12 = "", "",  IF($K12 * AQ11 * AQ$4 * AQ$6 = 0, "", $K12 * AQ11 * AQ$4 * AQ$6))</f>
        <v/>
      </c>
      <c r="AR12" s="37" t="str">
        <f t="shared" ref="AR12" si="29" xml:space="preserve"> IF( $K12 = "", "",  IF($K12 * AR11 * AR$4 * AR$6 = 0, "", $K12 * AR11 * AR$4 * AR$6))</f>
        <v/>
      </c>
      <c r="AS12" s="37" t="str">
        <f t="shared" ref="AS12" si="30" xml:space="preserve"> IF( $K12 = "", "",  IF($K12 * AS11 * AS$4 * AS$6 = 0, "", $K12 * AS11 * AS$4 * AS$6))</f>
        <v/>
      </c>
      <c r="AT12" s="37" t="str">
        <f t="shared" ref="AT12" si="31" xml:space="preserve"> IF( $K12 = "", "",  IF($K12 * AT11 * AT$4 * AT$6 = 0, "", $K12 * AT11 * AT$4 * AT$6))</f>
        <v/>
      </c>
      <c r="AU12" s="37" t="str">
        <f t="shared" ref="AU12" si="32" xml:space="preserve"> IF( $K12 = "", "",  IF($K12 * AU11 * AU$4 * AU$6 = 0, "", $K12 * AU11 * AU$4 * AU$6))</f>
        <v/>
      </c>
      <c r="AV12" s="37" t="str">
        <f t="shared" ref="AV12" si="33" xml:space="preserve"> IF( $K12 = "", "",  IF($K12 * AV11 * AV$4 * AV$6 = 0, "", $K12 * AV11 * AV$4 * AV$6))</f>
        <v/>
      </c>
      <c r="AW12" s="37" t="str">
        <f t="shared" ref="AW12" si="34" xml:space="preserve"> IF( $K12 = "", "",  IF($K12 * AW11 * AW$4 * AW$6 = 0, "", $K12 * AW11 * AW$4 * AW$6))</f>
        <v/>
      </c>
      <c r="AX12" s="37" t="str">
        <f t="shared" ref="AX12" si="35" xml:space="preserve"> IF( $K12 = "", "",  IF($K12 * AX11 * AX$4 * AX$6 = 0, "", $K12 * AX11 * AX$4 * AX$6))</f>
        <v/>
      </c>
      <c r="AY12" s="37" t="str">
        <f t="shared" ref="AY12" si="36" xml:space="preserve"> IF( $K12 = "", "",  IF($K12 * AY11 * AY$4 * AY$6 = 0, "", $K12 * AY11 * AY$4 * AY$6))</f>
        <v/>
      </c>
      <c r="AZ12" s="37" t="str">
        <f t="shared" ref="AZ12" si="37" xml:space="preserve"> IF( $K12 = "", "",  IF($K12 * AZ11 * AZ$4 * AZ$6 = 0, "", $K12 * AZ11 * AZ$4 * AZ$6))</f>
        <v/>
      </c>
      <c r="BA12" s="37" t="str">
        <f t="shared" ref="BA12" si="38" xml:space="preserve"> IF( $K12 = "", "",  IF($K12 * BA11 * BA$4 * BA$6 = 0, "", $K12 * BA11 * BA$4 * BA$6))</f>
        <v/>
      </c>
      <c r="BB12" s="37" t="str">
        <f t="shared" ref="BB12" si="39" xml:space="preserve"> IF( $K12 = "", "",  IF($K12 * BB11 * BB$4 * BB$6 = 0, "", $K12 * BB11 * BB$4 * BB$6))</f>
        <v/>
      </c>
      <c r="BC12" s="37" t="str">
        <f t="shared" ref="BC12" si="40" xml:space="preserve"> IF( $K12 = "", "",  IF($K12 * BC11 * BC$4 * BC$6 = 0, "", $K12 * BC11 * BC$4 * BC$6))</f>
        <v/>
      </c>
      <c r="BD12" s="37" t="str">
        <f t="shared" ref="BD12" si="41" xml:space="preserve"> IF( $K12 = "", "",  IF($K12 * BD11 * BD$4 * BD$6 = 0, "", $K12 * BD11 * BD$4 * BD$6))</f>
        <v/>
      </c>
      <c r="BE12" s="37" t="str">
        <f t="shared" ref="BE12" si="42" xml:space="preserve"> IF( $K12 = "", "",  IF($K12 * BE11 * BE$4 * BE$6 = 0, "", $K12 * BE11 * BE$4 * BE$6))</f>
        <v/>
      </c>
      <c r="BF12" s="37" t="str">
        <f t="shared" ref="BF12" si="43" xml:space="preserve"> IF( $K12 = "", "",  IF($K12 * BF11 * BF$4 * BF$6 = 0, "", $K12 * BF11 * BF$4 * BF$6))</f>
        <v/>
      </c>
      <c r="BG12" s="37" t="str">
        <f t="shared" ref="BG12" si="44" xml:space="preserve"> IF( $K12 = "", "",  IF($K12 * BG11 * BG$4 * BG$6 = 0, "", $K12 * BG11 * BG$4 * BG$6))</f>
        <v/>
      </c>
      <c r="BH12" s="37" t="str">
        <f t="shared" ref="BH12" si="45" xml:space="preserve"> IF( $K12 = "", "",  IF($K12 * BH11 * BH$4 * BH$6 = 0, "", $K12 * BH11 * BH$4 * BH$6))</f>
        <v/>
      </c>
      <c r="BI12" s="37" t="str">
        <f t="shared" ref="BI12" si="46" xml:space="preserve"> IF( $K12 = "", "",  IF($K12 * BI11 * BI$4 * BI$6 = 0, "", $K12 * BI11 * BI$4 * BI$6))</f>
        <v/>
      </c>
      <c r="BJ12" s="37" t="str">
        <f t="shared" ref="BJ12" si="47" xml:space="preserve"> IF( $K12 = "", "",  IF($K12 * BJ11 * BJ$4 * BJ$6 = 0, "", $K12 * BJ11 * BJ$4 * BJ$6))</f>
        <v/>
      </c>
      <c r="BK12" s="37" t="str">
        <f t="shared" ref="BK12" si="48" xml:space="preserve"> IF( $K12 = "", "",  IF($K12 * BK11 * BK$4 * BK$6 = 0, "", $K12 * BK11 * BK$4 * BK$6))</f>
        <v/>
      </c>
      <c r="BL12" s="37" t="str">
        <f t="shared" ref="BL12" si="49" xml:space="preserve"> IF( $K12 = "", "",  IF($K12 * BL11 * BL$4 * BL$6 = 0, "", $K12 * BL11 * BL$4 * BL$6))</f>
        <v/>
      </c>
      <c r="BM12" s="37" t="str">
        <f t="shared" ref="BM12" si="50" xml:space="preserve"> IF( $K12 = "", "",  IF($K12 * BM11 * BM$4 * BM$6 = 0, "", $K12 * BM11 * BM$4 * BM$6))</f>
        <v/>
      </c>
      <c r="BN12" s="37" t="str">
        <f t="shared" ref="BN12" si="51" xml:space="preserve"> IF( $K12 = "", "",  IF($K12 * BN11 * BN$4 * BN$6 = 0, "", $K12 * BN11 * BN$4 * BN$6))</f>
        <v/>
      </c>
      <c r="BO12" s="37" t="str">
        <f t="shared" ref="BO12" si="52" xml:space="preserve"> IF( $K12 = "", "",  IF($K12 * BO11 * BO$4 * BO$6 = 0, "", $K12 * BO11 * BO$4 * BO$6))</f>
        <v/>
      </c>
      <c r="BP12" s="37" t="str">
        <f t="shared" ref="BP12" si="53" xml:space="preserve"> IF( $K12 = "", "",  IF($K12 * BP11 * BP$4 * BP$6 = 0, "", $K12 * BP11 * BP$4 * BP$6))</f>
        <v/>
      </c>
      <c r="BQ12" s="37" t="str">
        <f t="shared" ref="BQ12" si="54" xml:space="preserve"> IF( $K12 = "", "",  IF($K12 * BQ11 * BQ$4 * BQ$6 = 0, "", $K12 * BQ11 * BQ$4 * BQ$6))</f>
        <v/>
      </c>
      <c r="BR12" s="37" t="str">
        <f t="shared" ref="BR12" si="55" xml:space="preserve"> IF( $K12 = "", "",  IF($K12 * BR11 * BR$4 * BR$6 = 0, "", $K12 * BR11 * BR$4 * BR$6))</f>
        <v/>
      </c>
      <c r="BS12" s="37" t="str">
        <f t="shared" ref="BS12" si="56" xml:space="preserve"> IF( $K12 = "", "",  IF($K12 * BS11 * BS$4 * BS$6 = 0, "", $K12 * BS11 * BS$4 * BS$6))</f>
        <v/>
      </c>
      <c r="BT12" s="37" t="str">
        <f t="shared" ref="BT12" si="57" xml:space="preserve"> IF( $K12 = "", "",  IF($K12 * BT11 * BT$4 * BT$6 = 0, "", $K12 * BT11 * BT$4 * BT$6))</f>
        <v/>
      </c>
      <c r="BU12" s="37" t="str">
        <f t="shared" ref="BU12" si="58" xml:space="preserve"> IF( $K12 = "", "",  IF($K12 * BU11 * BU$4 * BU$6 = 0, "", $K12 * BU11 * BU$4 * BU$6))</f>
        <v/>
      </c>
      <c r="BV12" s="37" t="str">
        <f t="shared" ref="BV12" si="59" xml:space="preserve"> IF( $K12 = "", "",  IF($K12 * BV11 * BV$4 * BV$6 = 0, "", $K12 * BV11 * BV$4 * BV$6))</f>
        <v/>
      </c>
      <c r="BW12" s="37" t="str">
        <f t="shared" ref="BW12" si="60" xml:space="preserve"> IF( $K12 = "", "",  IF($K12 * BW11 * BW$4 * BW$6 = 0, "", $K12 * BW11 * BW$4 * BW$6))</f>
        <v/>
      </c>
      <c r="BX12" s="37" t="str">
        <f t="shared" ref="BX12" si="61" xml:space="preserve"> IF( $K12 = "", "",  IF($K12 * BX11 * BX$4 * BX$6 = 0, "", $K12 * BX11 * BX$4 * BX$6))</f>
        <v/>
      </c>
      <c r="BY12" s="37" t="str">
        <f t="shared" ref="BY12" si="62" xml:space="preserve"> IF( $K12 = "", "",  IF($K12 * BY11 * BY$4 * BY$6 = 0, "", $K12 * BY11 * BY$4 * BY$6))</f>
        <v/>
      </c>
      <c r="BZ12" s="37" t="str">
        <f t="shared" ref="BZ12" si="63" xml:space="preserve"> IF( $K12 = "", "",  IF($K12 * BZ11 * BZ$4 * BZ$6 = 0, "", $K12 * BZ11 * BZ$4 * BZ$6))</f>
        <v/>
      </c>
      <c r="CA12" s="37" t="str">
        <f t="shared" ref="CA12" si="64" xml:space="preserve"> IF( $K12 = "", "",  IF($K12 * CA11 * CA$4 * CA$6 = 0, "", $K12 * CA11 * CA$4 * CA$6))</f>
        <v/>
      </c>
      <c r="CB12" s="37" t="str">
        <f t="shared" ref="CB12" si="65" xml:space="preserve"> IF( $K12 = "", "",  IF($K12 * CB11 * CB$4 * CB$6 = 0, "", $K12 * CB11 * CB$4 * CB$6))</f>
        <v/>
      </c>
      <c r="CC12" s="37" t="str">
        <f t="shared" ref="CC12" si="66" xml:space="preserve"> IF( $K12 = "", "",  IF($K12 * CC11 * CC$4 * CC$6 = 0, "", $K12 * CC11 * CC$4 * CC$6))</f>
        <v/>
      </c>
      <c r="CD12" s="41">
        <f>SUM(M12:CC12)</f>
        <v>90306.001345664263</v>
      </c>
    </row>
    <row r="13" spans="1:82" customFormat="1" ht="15" x14ac:dyDescent="0.2">
      <c r="A13" s="1"/>
      <c r="B13" s="1"/>
      <c r="C13" s="1"/>
      <c r="D13" s="1"/>
      <c r="E13" s="1"/>
      <c r="F13" s="1"/>
      <c r="G13" s="1"/>
      <c r="H13" s="13"/>
      <c r="I13" s="1"/>
      <c r="J13" s="8"/>
      <c r="K13" s="1"/>
      <c r="L13" s="25"/>
      <c r="M13" s="36"/>
      <c r="N13" s="36"/>
      <c r="O13" s="36"/>
      <c r="P13" s="36"/>
      <c r="Q13" s="36"/>
      <c r="R13" s="27">
        <v>0.10000000149011612</v>
      </c>
      <c r="S13" s="27">
        <v>0.10000000149011612</v>
      </c>
      <c r="T13" s="27">
        <v>0.10000000149011612</v>
      </c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42"/>
    </row>
    <row r="14" spans="1:82" customFormat="1" ht="15" x14ac:dyDescent="0.2">
      <c r="A14" s="1"/>
      <c r="B14" s="1"/>
      <c r="C14" s="1"/>
      <c r="D14" s="1"/>
      <c r="E14" s="1"/>
      <c r="F14" s="1"/>
      <c r="G14" s="1"/>
      <c r="H14" s="13"/>
      <c r="I14" s="23" t="s">
        <v>6</v>
      </c>
      <c r="J14" s="29" t="str">
        <f xml:space="preserve"> IF(_xlfn.XLOOKUP(I14,$A$45:$A$58,$B$45:$B$58,999999,0) = 0, "", _xlfn.XLOOKUP(I14,$A$45:$A$58,$B$45:$B$58,999999,0))</f>
        <v>Project Manager</v>
      </c>
      <c r="K14" s="26">
        <f>IF(_xlfn.XLOOKUP(I14,$A$45:$A$58,$C$45:$C$58,999999,0) = 0, "", _xlfn.XLOOKUP(I14,$A$45:$A$58,$C$45:$C$58,999999,0))</f>
        <v>195</v>
      </c>
      <c r="L14" s="23"/>
      <c r="M14" s="37" t="str">
        <f xml:space="preserve"> IF( $K14 = "", "",  IF($K14 * M13 * M$4 * M$6 = 0, "", $K14 * M13 * M$4 * M$6))</f>
        <v/>
      </c>
      <c r="N14" s="37" t="str">
        <f t="shared" ref="N14" si="67" xml:space="preserve"> IF( $K14 = "", "",  IF($K14 * N13 * N$4 * N$6 = 0, "", $K14 * N13 * N$4 * N$6))</f>
        <v/>
      </c>
      <c r="O14" s="37" t="str">
        <f t="shared" ref="O14" si="68" xml:space="preserve"> IF( $K14 = "", "",  IF($K14 * O13 * O$4 * O$6 = 0, "", $K14 * O13 * O$4 * O$6))</f>
        <v/>
      </c>
      <c r="P14" s="37" t="str">
        <f t="shared" ref="P14" si="69" xml:space="preserve"> IF( $K14 = "", "",  IF($K14 * P13 * P$4 * P$6 = 0, "", $K14 * P13 * P$4 * P$6))</f>
        <v/>
      </c>
      <c r="Q14" s="37" t="str">
        <f t="shared" ref="Q14" si="70" xml:space="preserve"> IF( $K14 = "", "",  IF($K14 * Q13 * Q$4 * Q$6 = 0, "", $K14 * Q13 * Q$4 * Q$6))</f>
        <v/>
      </c>
      <c r="R14" s="37">
        <f t="shared" ref="R14" si="71" xml:space="preserve"> IF( $K14 = "", "",  IF($K14 * R13 * R$4 * R$6 = 0, "", $K14 * R13 * R$4 * R$6))</f>
        <v>10120.500150807202</v>
      </c>
      <c r="S14" s="37">
        <f t="shared" ref="S14" si="72" xml:space="preserve"> IF( $K14 = "", "",  IF($K14 * S13 * S$4 * S$6 = 0, "", $K14 * S13 * S$4 * S$6))</f>
        <v>10120.500150807202</v>
      </c>
      <c r="T14" s="37">
        <f t="shared" ref="T14" si="73" xml:space="preserve"> IF( $K14 = "", "",  IF($K14 * T13 * T$4 * T$6 = 0, "", $K14 * T13 * T$4 * T$6))</f>
        <v>10120.500150807202</v>
      </c>
      <c r="U14" s="37" t="str">
        <f t="shared" ref="U14" si="74" xml:space="preserve"> IF( $K14 = "", "",  IF($K14 * U13 * U$4 * U$6 = 0, "", $K14 * U13 * U$4 * U$6))</f>
        <v/>
      </c>
      <c r="V14" s="37" t="str">
        <f t="shared" ref="V14" si="75" xml:space="preserve"> IF( $K14 = "", "",  IF($K14 * V13 * V$4 * V$6 = 0, "", $K14 * V13 * V$4 * V$6))</f>
        <v/>
      </c>
      <c r="W14" s="37" t="str">
        <f t="shared" ref="W14" si="76" xml:space="preserve"> IF( $K14 = "", "",  IF($K14 * W13 * W$4 * W$6 = 0, "", $K14 * W13 * W$4 * W$6))</f>
        <v/>
      </c>
      <c r="X14" s="37" t="str">
        <f t="shared" ref="X14" si="77" xml:space="preserve"> IF( $K14 = "", "",  IF($K14 * X13 * X$4 * X$6 = 0, "", $K14 * X13 * X$4 * X$6))</f>
        <v/>
      </c>
      <c r="Y14" s="37" t="str">
        <f t="shared" ref="Y14" si="78" xml:space="preserve"> IF( $K14 = "", "",  IF($K14 * Y13 * Y$4 * Y$6 = 0, "", $K14 * Y13 * Y$4 * Y$6))</f>
        <v/>
      </c>
      <c r="Z14" s="37" t="str">
        <f t="shared" ref="Z14" si="79" xml:space="preserve"> IF( $K14 = "", "",  IF($K14 * Z13 * Z$4 * Z$6 = 0, "", $K14 * Z13 * Z$4 * Z$6))</f>
        <v/>
      </c>
      <c r="AA14" s="37" t="str">
        <f t="shared" ref="AA14" si="80" xml:space="preserve"> IF( $K14 = "", "",  IF($K14 * AA13 * AA$4 * AA$6 = 0, "", $K14 * AA13 * AA$4 * AA$6))</f>
        <v/>
      </c>
      <c r="AB14" s="37" t="str">
        <f t="shared" ref="AB14" si="81" xml:space="preserve"> IF( $K14 = "", "",  IF($K14 * AB13 * AB$4 * AB$6 = 0, "", $K14 * AB13 * AB$4 * AB$6))</f>
        <v/>
      </c>
      <c r="AC14" s="37" t="str">
        <f t="shared" ref="AC14" si="82" xml:space="preserve"> IF( $K14 = "", "",  IF($K14 * AC13 * AC$4 * AC$6 = 0, "", $K14 * AC13 * AC$4 * AC$6))</f>
        <v/>
      </c>
      <c r="AD14" s="37" t="str">
        <f t="shared" ref="AD14" si="83" xml:space="preserve"> IF( $K14 = "", "",  IF($K14 * AD13 * AD$4 * AD$6 = 0, "", $K14 * AD13 * AD$4 * AD$6))</f>
        <v/>
      </c>
      <c r="AE14" s="37" t="str">
        <f t="shared" ref="AE14" si="84" xml:space="preserve"> IF( $K14 = "", "",  IF($K14 * AE13 * AE$4 * AE$6 = 0, "", $K14 * AE13 * AE$4 * AE$6))</f>
        <v/>
      </c>
      <c r="AF14" s="37" t="str">
        <f t="shared" ref="AF14" si="85" xml:space="preserve"> IF( $K14 = "", "",  IF($K14 * AF13 * AF$4 * AF$6 = 0, "", $K14 * AF13 * AF$4 * AF$6))</f>
        <v/>
      </c>
      <c r="AG14" s="37" t="str">
        <f t="shared" ref="AG14" si="86" xml:space="preserve"> IF( $K14 = "", "",  IF($K14 * AG13 * AG$4 * AG$6 = 0, "", $K14 * AG13 * AG$4 * AG$6))</f>
        <v/>
      </c>
      <c r="AH14" s="37" t="str">
        <f t="shared" ref="AH14" si="87" xml:space="preserve"> IF( $K14 = "", "",  IF($K14 * AH13 * AH$4 * AH$6 = 0, "", $K14 * AH13 * AH$4 * AH$6))</f>
        <v/>
      </c>
      <c r="AI14" s="37" t="str">
        <f t="shared" ref="AI14" si="88" xml:space="preserve"> IF( $K14 = "", "",  IF($K14 * AI13 * AI$4 * AI$6 = 0, "", $K14 * AI13 * AI$4 * AI$6))</f>
        <v/>
      </c>
      <c r="AJ14" s="37" t="str">
        <f t="shared" ref="AJ14" si="89" xml:space="preserve"> IF( $K14 = "", "",  IF($K14 * AJ13 * AJ$4 * AJ$6 = 0, "", $K14 * AJ13 * AJ$4 * AJ$6))</f>
        <v/>
      </c>
      <c r="AK14" s="37" t="str">
        <f t="shared" ref="AK14" si="90" xml:space="preserve"> IF( $K14 = "", "",  IF($K14 * AK13 * AK$4 * AK$6 = 0, "", $K14 * AK13 * AK$4 * AK$6))</f>
        <v/>
      </c>
      <c r="AL14" s="37" t="str">
        <f t="shared" ref="AL14" si="91" xml:space="preserve"> IF( $K14 = "", "",  IF($K14 * AL13 * AL$4 * AL$6 = 0, "", $K14 * AL13 * AL$4 * AL$6))</f>
        <v/>
      </c>
      <c r="AM14" s="37" t="str">
        <f t="shared" ref="AM14" si="92" xml:space="preserve"> IF( $K14 = "", "",  IF($K14 * AM13 * AM$4 * AM$6 = 0, "", $K14 * AM13 * AM$4 * AM$6))</f>
        <v/>
      </c>
      <c r="AN14" s="37" t="str">
        <f t="shared" ref="AN14" si="93" xml:space="preserve"> IF( $K14 = "", "",  IF($K14 * AN13 * AN$4 * AN$6 = 0, "", $K14 * AN13 * AN$4 * AN$6))</f>
        <v/>
      </c>
      <c r="AO14" s="37" t="str">
        <f t="shared" ref="AO14" si="94" xml:space="preserve"> IF( $K14 = "", "",  IF($K14 * AO13 * AO$4 * AO$6 = 0, "", $K14 * AO13 * AO$4 * AO$6))</f>
        <v/>
      </c>
      <c r="AP14" s="37" t="str">
        <f t="shared" ref="AP14" si="95" xml:space="preserve"> IF( $K14 = "", "",  IF($K14 * AP13 * AP$4 * AP$6 = 0, "", $K14 * AP13 * AP$4 * AP$6))</f>
        <v/>
      </c>
      <c r="AQ14" s="37" t="str">
        <f t="shared" ref="AQ14" si="96" xml:space="preserve"> IF( $K14 = "", "",  IF($K14 * AQ13 * AQ$4 * AQ$6 = 0, "", $K14 * AQ13 * AQ$4 * AQ$6))</f>
        <v/>
      </c>
      <c r="AR14" s="37" t="str">
        <f t="shared" ref="AR14" si="97" xml:space="preserve"> IF( $K14 = "", "",  IF($K14 * AR13 * AR$4 * AR$6 = 0, "", $K14 * AR13 * AR$4 * AR$6))</f>
        <v/>
      </c>
      <c r="AS14" s="37" t="str">
        <f t="shared" ref="AS14" si="98" xml:space="preserve"> IF( $K14 = "", "",  IF($K14 * AS13 * AS$4 * AS$6 = 0, "", $K14 * AS13 * AS$4 * AS$6))</f>
        <v/>
      </c>
      <c r="AT14" s="37" t="str">
        <f t="shared" ref="AT14" si="99" xml:space="preserve"> IF( $K14 = "", "",  IF($K14 * AT13 * AT$4 * AT$6 = 0, "", $K14 * AT13 * AT$4 * AT$6))</f>
        <v/>
      </c>
      <c r="AU14" s="37" t="str">
        <f t="shared" ref="AU14" si="100" xml:space="preserve"> IF( $K14 = "", "",  IF($K14 * AU13 * AU$4 * AU$6 = 0, "", $K14 * AU13 * AU$4 * AU$6))</f>
        <v/>
      </c>
      <c r="AV14" s="37" t="str">
        <f t="shared" ref="AV14" si="101" xml:space="preserve"> IF( $K14 = "", "",  IF($K14 * AV13 * AV$4 * AV$6 = 0, "", $K14 * AV13 * AV$4 * AV$6))</f>
        <v/>
      </c>
      <c r="AW14" s="37" t="str">
        <f t="shared" ref="AW14" si="102" xml:space="preserve"> IF( $K14 = "", "",  IF($K14 * AW13 * AW$4 * AW$6 = 0, "", $K14 * AW13 * AW$4 * AW$6))</f>
        <v/>
      </c>
      <c r="AX14" s="37" t="str">
        <f t="shared" ref="AX14" si="103" xml:space="preserve"> IF( $K14 = "", "",  IF($K14 * AX13 * AX$4 * AX$6 = 0, "", $K14 * AX13 * AX$4 * AX$6))</f>
        <v/>
      </c>
      <c r="AY14" s="37" t="str">
        <f t="shared" ref="AY14" si="104" xml:space="preserve"> IF( $K14 = "", "",  IF($K14 * AY13 * AY$4 * AY$6 = 0, "", $K14 * AY13 * AY$4 * AY$6))</f>
        <v/>
      </c>
      <c r="AZ14" s="37" t="str">
        <f t="shared" ref="AZ14" si="105" xml:space="preserve"> IF( $K14 = "", "",  IF($K14 * AZ13 * AZ$4 * AZ$6 = 0, "", $K14 * AZ13 * AZ$4 * AZ$6))</f>
        <v/>
      </c>
      <c r="BA14" s="37" t="str">
        <f t="shared" ref="BA14" si="106" xml:space="preserve"> IF( $K14 = "", "",  IF($K14 * BA13 * BA$4 * BA$6 = 0, "", $K14 * BA13 * BA$4 * BA$6))</f>
        <v/>
      </c>
      <c r="BB14" s="37" t="str">
        <f t="shared" ref="BB14" si="107" xml:space="preserve"> IF( $K14 = "", "",  IF($K14 * BB13 * BB$4 * BB$6 = 0, "", $K14 * BB13 * BB$4 * BB$6))</f>
        <v/>
      </c>
      <c r="BC14" s="37" t="str">
        <f t="shared" ref="BC14" si="108" xml:space="preserve"> IF( $K14 = "", "",  IF($K14 * BC13 * BC$4 * BC$6 = 0, "", $K14 * BC13 * BC$4 * BC$6))</f>
        <v/>
      </c>
      <c r="BD14" s="37" t="str">
        <f t="shared" ref="BD14" si="109" xml:space="preserve"> IF( $K14 = "", "",  IF($K14 * BD13 * BD$4 * BD$6 = 0, "", $K14 * BD13 * BD$4 * BD$6))</f>
        <v/>
      </c>
      <c r="BE14" s="37" t="str">
        <f t="shared" ref="BE14" si="110" xml:space="preserve"> IF( $K14 = "", "",  IF($K14 * BE13 * BE$4 * BE$6 = 0, "", $K14 * BE13 * BE$4 * BE$6))</f>
        <v/>
      </c>
      <c r="BF14" s="37" t="str">
        <f t="shared" ref="BF14" si="111" xml:space="preserve"> IF( $K14 = "", "",  IF($K14 * BF13 * BF$4 * BF$6 = 0, "", $K14 * BF13 * BF$4 * BF$6))</f>
        <v/>
      </c>
      <c r="BG14" s="37" t="str">
        <f t="shared" ref="BG14" si="112" xml:space="preserve"> IF( $K14 = "", "",  IF($K14 * BG13 * BG$4 * BG$6 = 0, "", $K14 * BG13 * BG$4 * BG$6))</f>
        <v/>
      </c>
      <c r="BH14" s="37" t="str">
        <f t="shared" ref="BH14" si="113" xml:space="preserve"> IF( $K14 = "", "",  IF($K14 * BH13 * BH$4 * BH$6 = 0, "", $K14 * BH13 * BH$4 * BH$6))</f>
        <v/>
      </c>
      <c r="BI14" s="37" t="str">
        <f t="shared" ref="BI14" si="114" xml:space="preserve"> IF( $K14 = "", "",  IF($K14 * BI13 * BI$4 * BI$6 = 0, "", $K14 * BI13 * BI$4 * BI$6))</f>
        <v/>
      </c>
      <c r="BJ14" s="37" t="str">
        <f t="shared" ref="BJ14" si="115" xml:space="preserve"> IF( $K14 = "", "",  IF($K14 * BJ13 * BJ$4 * BJ$6 = 0, "", $K14 * BJ13 * BJ$4 * BJ$6))</f>
        <v/>
      </c>
      <c r="BK14" s="37" t="str">
        <f t="shared" ref="BK14" si="116" xml:space="preserve"> IF( $K14 = "", "",  IF($K14 * BK13 * BK$4 * BK$6 = 0, "", $K14 * BK13 * BK$4 * BK$6))</f>
        <v/>
      </c>
      <c r="BL14" s="37" t="str">
        <f t="shared" ref="BL14" si="117" xml:space="preserve"> IF( $K14 = "", "",  IF($K14 * BL13 * BL$4 * BL$6 = 0, "", $K14 * BL13 * BL$4 * BL$6))</f>
        <v/>
      </c>
      <c r="BM14" s="37" t="str">
        <f t="shared" ref="BM14" si="118" xml:space="preserve"> IF( $K14 = "", "",  IF($K14 * BM13 * BM$4 * BM$6 = 0, "", $K14 * BM13 * BM$4 * BM$6))</f>
        <v/>
      </c>
      <c r="BN14" s="37" t="str">
        <f t="shared" ref="BN14" si="119" xml:space="preserve"> IF( $K14 = "", "",  IF($K14 * BN13 * BN$4 * BN$6 = 0, "", $K14 * BN13 * BN$4 * BN$6))</f>
        <v/>
      </c>
      <c r="BO14" s="37" t="str">
        <f t="shared" ref="BO14" si="120" xml:space="preserve"> IF( $K14 = "", "",  IF($K14 * BO13 * BO$4 * BO$6 = 0, "", $K14 * BO13 * BO$4 * BO$6))</f>
        <v/>
      </c>
      <c r="BP14" s="37" t="str">
        <f t="shared" ref="BP14" si="121" xml:space="preserve"> IF( $K14 = "", "",  IF($K14 * BP13 * BP$4 * BP$6 = 0, "", $K14 * BP13 * BP$4 * BP$6))</f>
        <v/>
      </c>
      <c r="BQ14" s="37" t="str">
        <f t="shared" ref="BQ14" si="122" xml:space="preserve"> IF( $K14 = "", "",  IF($K14 * BQ13 * BQ$4 * BQ$6 = 0, "", $K14 * BQ13 * BQ$4 * BQ$6))</f>
        <v/>
      </c>
      <c r="BR14" s="37" t="str">
        <f t="shared" ref="BR14" si="123" xml:space="preserve"> IF( $K14 = "", "",  IF($K14 * BR13 * BR$4 * BR$6 = 0, "", $K14 * BR13 * BR$4 * BR$6))</f>
        <v/>
      </c>
      <c r="BS14" s="37" t="str">
        <f t="shared" ref="BS14" si="124" xml:space="preserve"> IF( $K14 = "", "",  IF($K14 * BS13 * BS$4 * BS$6 = 0, "", $K14 * BS13 * BS$4 * BS$6))</f>
        <v/>
      </c>
      <c r="BT14" s="37" t="str">
        <f t="shared" ref="BT14" si="125" xml:space="preserve"> IF( $K14 = "", "",  IF($K14 * BT13 * BT$4 * BT$6 = 0, "", $K14 * BT13 * BT$4 * BT$6))</f>
        <v/>
      </c>
      <c r="BU14" s="37" t="str">
        <f t="shared" ref="BU14" si="126" xml:space="preserve"> IF( $K14 = "", "",  IF($K14 * BU13 * BU$4 * BU$6 = 0, "", $K14 * BU13 * BU$4 * BU$6))</f>
        <v/>
      </c>
      <c r="BV14" s="37" t="str">
        <f t="shared" ref="BV14" si="127" xml:space="preserve"> IF( $K14 = "", "",  IF($K14 * BV13 * BV$4 * BV$6 = 0, "", $K14 * BV13 * BV$4 * BV$6))</f>
        <v/>
      </c>
      <c r="BW14" s="37" t="str">
        <f t="shared" ref="BW14" si="128" xml:space="preserve"> IF( $K14 = "", "",  IF($K14 * BW13 * BW$4 * BW$6 = 0, "", $K14 * BW13 * BW$4 * BW$6))</f>
        <v/>
      </c>
      <c r="BX14" s="37" t="str">
        <f t="shared" ref="BX14" si="129" xml:space="preserve"> IF( $K14 = "", "",  IF($K14 * BX13 * BX$4 * BX$6 = 0, "", $K14 * BX13 * BX$4 * BX$6))</f>
        <v/>
      </c>
      <c r="BY14" s="37" t="str">
        <f t="shared" ref="BY14" si="130" xml:space="preserve"> IF( $K14 = "", "",  IF($K14 * BY13 * BY$4 * BY$6 = 0, "", $K14 * BY13 * BY$4 * BY$6))</f>
        <v/>
      </c>
      <c r="BZ14" s="37" t="str">
        <f t="shared" ref="BZ14" si="131" xml:space="preserve"> IF( $K14 = "", "",  IF($K14 * BZ13 * BZ$4 * BZ$6 = 0, "", $K14 * BZ13 * BZ$4 * BZ$6))</f>
        <v/>
      </c>
      <c r="CA14" s="37" t="str">
        <f t="shared" ref="CA14" si="132" xml:space="preserve"> IF( $K14 = "", "",  IF($K14 * CA13 * CA$4 * CA$6 = 0, "", $K14 * CA13 * CA$4 * CA$6))</f>
        <v/>
      </c>
      <c r="CB14" s="37" t="str">
        <f t="shared" ref="CB14" si="133" xml:space="preserve"> IF( $K14 = "", "",  IF($K14 * CB13 * CB$4 * CB$6 = 0, "", $K14 * CB13 * CB$4 * CB$6))</f>
        <v/>
      </c>
      <c r="CC14" s="37" t="str">
        <f t="shared" ref="CC14" si="134" xml:space="preserve"> IF( $K14 = "", "",  IF($K14 * CC13 * CC$4 * CC$6 = 0, "", $K14 * CC13 * CC$4 * CC$6))</f>
        <v/>
      </c>
      <c r="CD14" s="41">
        <f>SUM(M14:CC14)</f>
        <v>30361.500452421606</v>
      </c>
    </row>
    <row r="15" spans="1:82" customFormat="1" ht="15" x14ac:dyDescent="0.2">
      <c r="A15" s="4" t="s">
        <v>12</v>
      </c>
      <c r="B15" s="2" t="s">
        <v>4</v>
      </c>
      <c r="C15" s="2" t="s">
        <v>5</v>
      </c>
      <c r="D15" s="2" t="s">
        <v>17</v>
      </c>
      <c r="E15" s="4"/>
      <c r="F15" s="4"/>
      <c r="G15" s="4"/>
      <c r="H15" s="32"/>
      <c r="I15" s="1"/>
      <c r="J15" s="8"/>
      <c r="K15" s="1"/>
      <c r="L15" s="1"/>
      <c r="M15" s="36"/>
      <c r="N15" s="36"/>
      <c r="O15" s="36"/>
      <c r="P15" s="36"/>
      <c r="Q15" s="36"/>
      <c r="R15" s="36"/>
      <c r="S15" s="36"/>
      <c r="T15" s="36"/>
      <c r="U15" s="27">
        <v>0.5</v>
      </c>
      <c r="V15" s="27">
        <v>0.5</v>
      </c>
      <c r="W15" s="27">
        <v>0.5</v>
      </c>
      <c r="X15" s="27">
        <v>0.5</v>
      </c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42"/>
    </row>
    <row r="16" spans="1:82" customFormat="1" ht="15" x14ac:dyDescent="0.2">
      <c r="A16" s="6" t="str">
        <f>A45</f>
        <v>Dave Johnson</v>
      </c>
      <c r="B16" s="7">
        <v>45200</v>
      </c>
      <c r="C16" s="7">
        <v>45352</v>
      </c>
      <c r="D16" s="20">
        <v>0.1</v>
      </c>
      <c r="E16" s="14"/>
      <c r="F16" s="14"/>
      <c r="G16" s="14"/>
      <c r="H16" s="33"/>
      <c r="I16" s="23" t="s">
        <v>8</v>
      </c>
      <c r="J16" s="29" t="str">
        <f xml:space="preserve"> IF(_xlfn.XLOOKUP(I16,$A$45:$A$58,$B$45:$B$58,999999,0) = 0, "", _xlfn.XLOOKUP(I16,$A$45:$A$58,$B$45:$B$58,999999,0))</f>
        <v>Project Engineer</v>
      </c>
      <c r="K16" s="26">
        <f>IF(_xlfn.XLOOKUP(I16,$A$45:$A$58,$C$45:$C$58,999999,0) = 0, "", _xlfn.XLOOKUP(I16,$A$45:$A$58,$C$45:$C$58,999999,0))</f>
        <v>160</v>
      </c>
      <c r="L16" s="23"/>
      <c r="M16" s="37" t="str">
        <f xml:space="preserve"> IF( $K16 = "", "",  IF($K16 * M15 * M$4 * M$6 = 0, "", $K16 * M15 * M$4 * M$6))</f>
        <v/>
      </c>
      <c r="N16" s="37" t="str">
        <f t="shared" ref="N16" si="135" xml:space="preserve"> IF( $K16 = "", "",  IF($K16 * N15 * N$4 * N$6 = 0, "", $K16 * N15 * N$4 * N$6))</f>
        <v/>
      </c>
      <c r="O16" s="37" t="str">
        <f t="shared" ref="O16" si="136" xml:space="preserve"> IF( $K16 = "", "",  IF($K16 * O15 * O$4 * O$6 = 0, "", $K16 * O15 * O$4 * O$6))</f>
        <v/>
      </c>
      <c r="P16" s="37" t="str">
        <f t="shared" ref="P16" si="137" xml:space="preserve"> IF( $K16 = "", "",  IF($K16 * P15 * P$4 * P$6 = 0, "", $K16 * P15 * P$4 * P$6))</f>
        <v/>
      </c>
      <c r="Q16" s="37" t="str">
        <f t="shared" ref="Q16" si="138" xml:space="preserve"> IF( $K16 = "", "",  IF($K16 * Q15 * Q$4 * Q$6 = 0, "", $K16 * Q15 * Q$4 * Q$6))</f>
        <v/>
      </c>
      <c r="R16" s="37" t="str">
        <f t="shared" ref="R16" si="139" xml:space="preserve"> IF( $K16 = "", "",  IF($K16 * R15 * R$4 * R$6 = 0, "", $K16 * R15 * R$4 * R$6))</f>
        <v/>
      </c>
      <c r="S16" s="37" t="str">
        <f t="shared" ref="S16" si="140" xml:space="preserve"> IF( $K16 = "", "",  IF($K16 * S15 * S$4 * S$6 = 0, "", $K16 * S15 * S$4 * S$6))</f>
        <v/>
      </c>
      <c r="T16" s="37" t="str">
        <f t="shared" ref="T16" si="141" xml:space="preserve"> IF( $K16 = "", "",  IF($K16 * T15 * T$4 * T$6 = 0, "", $K16 * T15 * T$4 * T$6))</f>
        <v/>
      </c>
      <c r="U16" s="37">
        <f t="shared" ref="U16" si="142" xml:space="preserve"> IF( $K16 = "", "",  IF($K16 * U15 * U$4 * U$6 = 0, "", $K16 * U15 * U$4 * U$6))</f>
        <v>41520</v>
      </c>
      <c r="V16" s="37">
        <f t="shared" ref="V16" si="143" xml:space="preserve"> IF( $K16 = "", "",  IF($K16 * V15 * V$4 * V$6 = 0, "", $K16 * V15 * V$4 * V$6))</f>
        <v>41520</v>
      </c>
      <c r="W16" s="37">
        <f t="shared" ref="W16" si="144" xml:space="preserve"> IF( $K16 = "", "",  IF($K16 * W15 * W$4 * W$6 = 0, "", $K16 * W15 * W$4 * W$6))</f>
        <v>41520</v>
      </c>
      <c r="X16" s="37">
        <f t="shared" ref="X16" si="145" xml:space="preserve"> IF( $K16 = "", "",  IF($K16 * X15 * X$4 * X$6 = 0, "", $K16 * X15 * X$4 * X$6))</f>
        <v>41520</v>
      </c>
      <c r="Y16" s="37" t="str">
        <f t="shared" ref="Y16" si="146" xml:space="preserve"> IF( $K16 = "", "",  IF($K16 * Y15 * Y$4 * Y$6 = 0, "", $K16 * Y15 * Y$4 * Y$6))</f>
        <v/>
      </c>
      <c r="Z16" s="37" t="str">
        <f t="shared" ref="Z16" si="147" xml:space="preserve"> IF( $K16 = "", "",  IF($K16 * Z15 * Z$4 * Z$6 = 0, "", $K16 * Z15 * Z$4 * Z$6))</f>
        <v/>
      </c>
      <c r="AA16" s="37" t="str">
        <f t="shared" ref="AA16" si="148" xml:space="preserve"> IF( $K16 = "", "",  IF($K16 * AA15 * AA$4 * AA$6 = 0, "", $K16 * AA15 * AA$4 * AA$6))</f>
        <v/>
      </c>
      <c r="AB16" s="37" t="str">
        <f t="shared" ref="AB16" si="149" xml:space="preserve"> IF( $K16 = "", "",  IF($K16 * AB15 * AB$4 * AB$6 = 0, "", $K16 * AB15 * AB$4 * AB$6))</f>
        <v/>
      </c>
      <c r="AC16" s="37" t="str">
        <f t="shared" ref="AC16" si="150" xml:space="preserve"> IF( $K16 = "", "",  IF($K16 * AC15 * AC$4 * AC$6 = 0, "", $K16 * AC15 * AC$4 * AC$6))</f>
        <v/>
      </c>
      <c r="AD16" s="37" t="str">
        <f t="shared" ref="AD16" si="151" xml:space="preserve"> IF( $K16 = "", "",  IF($K16 * AD15 * AD$4 * AD$6 = 0, "", $K16 * AD15 * AD$4 * AD$6))</f>
        <v/>
      </c>
      <c r="AE16" s="37" t="str">
        <f t="shared" ref="AE16" si="152" xml:space="preserve"> IF( $K16 = "", "",  IF($K16 * AE15 * AE$4 * AE$6 = 0, "", $K16 * AE15 * AE$4 * AE$6))</f>
        <v/>
      </c>
      <c r="AF16" s="37" t="str">
        <f t="shared" ref="AF16" si="153" xml:space="preserve"> IF( $K16 = "", "",  IF($K16 * AF15 * AF$4 * AF$6 = 0, "", $K16 * AF15 * AF$4 * AF$6))</f>
        <v/>
      </c>
      <c r="AG16" s="37" t="str">
        <f t="shared" ref="AG16" si="154" xml:space="preserve"> IF( $K16 = "", "",  IF($K16 * AG15 * AG$4 * AG$6 = 0, "", $K16 * AG15 * AG$4 * AG$6))</f>
        <v/>
      </c>
      <c r="AH16" s="37" t="str">
        <f t="shared" ref="AH16" si="155" xml:space="preserve"> IF( $K16 = "", "",  IF($K16 * AH15 * AH$4 * AH$6 = 0, "", $K16 * AH15 * AH$4 * AH$6))</f>
        <v/>
      </c>
      <c r="AI16" s="37" t="str">
        <f t="shared" ref="AI16" si="156" xml:space="preserve"> IF( $K16 = "", "",  IF($K16 * AI15 * AI$4 * AI$6 = 0, "", $K16 * AI15 * AI$4 * AI$6))</f>
        <v/>
      </c>
      <c r="AJ16" s="37" t="str">
        <f t="shared" ref="AJ16" si="157" xml:space="preserve"> IF( $K16 = "", "",  IF($K16 * AJ15 * AJ$4 * AJ$6 = 0, "", $K16 * AJ15 * AJ$4 * AJ$6))</f>
        <v/>
      </c>
      <c r="AK16" s="37" t="str">
        <f t="shared" ref="AK16" si="158" xml:space="preserve"> IF( $K16 = "", "",  IF($K16 * AK15 * AK$4 * AK$6 = 0, "", $K16 * AK15 * AK$4 * AK$6))</f>
        <v/>
      </c>
      <c r="AL16" s="37" t="str">
        <f t="shared" ref="AL16" si="159" xml:space="preserve"> IF( $K16 = "", "",  IF($K16 * AL15 * AL$4 * AL$6 = 0, "", $K16 * AL15 * AL$4 * AL$6))</f>
        <v/>
      </c>
      <c r="AM16" s="37" t="str">
        <f t="shared" ref="AM16" si="160" xml:space="preserve"> IF( $K16 = "", "",  IF($K16 * AM15 * AM$4 * AM$6 = 0, "", $K16 * AM15 * AM$4 * AM$6))</f>
        <v/>
      </c>
      <c r="AN16" s="37" t="str">
        <f t="shared" ref="AN16" si="161" xml:space="preserve"> IF( $K16 = "", "",  IF($K16 * AN15 * AN$4 * AN$6 = 0, "", $K16 * AN15 * AN$4 * AN$6))</f>
        <v/>
      </c>
      <c r="AO16" s="37" t="str">
        <f t="shared" ref="AO16" si="162" xml:space="preserve"> IF( $K16 = "", "",  IF($K16 * AO15 * AO$4 * AO$6 = 0, "", $K16 * AO15 * AO$4 * AO$6))</f>
        <v/>
      </c>
      <c r="AP16" s="37" t="str">
        <f t="shared" ref="AP16" si="163" xml:space="preserve"> IF( $K16 = "", "",  IF($K16 * AP15 * AP$4 * AP$6 = 0, "", $K16 * AP15 * AP$4 * AP$6))</f>
        <v/>
      </c>
      <c r="AQ16" s="37" t="str">
        <f t="shared" ref="AQ16" si="164" xml:space="preserve"> IF( $K16 = "", "",  IF($K16 * AQ15 * AQ$4 * AQ$6 = 0, "", $K16 * AQ15 * AQ$4 * AQ$6))</f>
        <v/>
      </c>
      <c r="AR16" s="37" t="str">
        <f t="shared" ref="AR16" si="165" xml:space="preserve"> IF( $K16 = "", "",  IF($K16 * AR15 * AR$4 * AR$6 = 0, "", $K16 * AR15 * AR$4 * AR$6))</f>
        <v/>
      </c>
      <c r="AS16" s="37" t="str">
        <f t="shared" ref="AS16" si="166" xml:space="preserve"> IF( $K16 = "", "",  IF($K16 * AS15 * AS$4 * AS$6 = 0, "", $K16 * AS15 * AS$4 * AS$6))</f>
        <v/>
      </c>
      <c r="AT16" s="37" t="str">
        <f t="shared" ref="AT16" si="167" xml:space="preserve"> IF( $K16 = "", "",  IF($K16 * AT15 * AT$4 * AT$6 = 0, "", $K16 * AT15 * AT$4 * AT$6))</f>
        <v/>
      </c>
      <c r="AU16" s="37" t="str">
        <f t="shared" ref="AU16" si="168" xml:space="preserve"> IF( $K16 = "", "",  IF($K16 * AU15 * AU$4 * AU$6 = 0, "", $K16 * AU15 * AU$4 * AU$6))</f>
        <v/>
      </c>
      <c r="AV16" s="37" t="str">
        <f t="shared" ref="AV16" si="169" xml:space="preserve"> IF( $K16 = "", "",  IF($K16 * AV15 * AV$4 * AV$6 = 0, "", $K16 * AV15 * AV$4 * AV$6))</f>
        <v/>
      </c>
      <c r="AW16" s="37" t="str">
        <f t="shared" ref="AW16" si="170" xml:space="preserve"> IF( $K16 = "", "",  IF($K16 * AW15 * AW$4 * AW$6 = 0, "", $K16 * AW15 * AW$4 * AW$6))</f>
        <v/>
      </c>
      <c r="AX16" s="37" t="str">
        <f t="shared" ref="AX16" si="171" xml:space="preserve"> IF( $K16 = "", "",  IF($K16 * AX15 * AX$4 * AX$6 = 0, "", $K16 * AX15 * AX$4 * AX$6))</f>
        <v/>
      </c>
      <c r="AY16" s="37" t="str">
        <f t="shared" ref="AY16" si="172" xml:space="preserve"> IF( $K16 = "", "",  IF($K16 * AY15 * AY$4 * AY$6 = 0, "", $K16 * AY15 * AY$4 * AY$6))</f>
        <v/>
      </c>
      <c r="AZ16" s="37" t="str">
        <f t="shared" ref="AZ16" si="173" xml:space="preserve"> IF( $K16 = "", "",  IF($K16 * AZ15 * AZ$4 * AZ$6 = 0, "", $K16 * AZ15 * AZ$4 * AZ$6))</f>
        <v/>
      </c>
      <c r="BA16" s="37" t="str">
        <f t="shared" ref="BA16" si="174" xml:space="preserve"> IF( $K16 = "", "",  IF($K16 * BA15 * BA$4 * BA$6 = 0, "", $K16 * BA15 * BA$4 * BA$6))</f>
        <v/>
      </c>
      <c r="BB16" s="37" t="str">
        <f t="shared" ref="BB16" si="175" xml:space="preserve"> IF( $K16 = "", "",  IF($K16 * BB15 * BB$4 * BB$6 = 0, "", $K16 * BB15 * BB$4 * BB$6))</f>
        <v/>
      </c>
      <c r="BC16" s="37" t="str">
        <f t="shared" ref="BC16" si="176" xml:space="preserve"> IF( $K16 = "", "",  IF($K16 * BC15 * BC$4 * BC$6 = 0, "", $K16 * BC15 * BC$4 * BC$6))</f>
        <v/>
      </c>
      <c r="BD16" s="37" t="str">
        <f t="shared" ref="BD16" si="177" xml:space="preserve"> IF( $K16 = "", "",  IF($K16 * BD15 * BD$4 * BD$6 = 0, "", $K16 * BD15 * BD$4 * BD$6))</f>
        <v/>
      </c>
      <c r="BE16" s="37" t="str">
        <f t="shared" ref="BE16" si="178" xml:space="preserve"> IF( $K16 = "", "",  IF($K16 * BE15 * BE$4 * BE$6 = 0, "", $K16 * BE15 * BE$4 * BE$6))</f>
        <v/>
      </c>
      <c r="BF16" s="37" t="str">
        <f t="shared" ref="BF16" si="179" xml:space="preserve"> IF( $K16 = "", "",  IF($K16 * BF15 * BF$4 * BF$6 = 0, "", $K16 * BF15 * BF$4 * BF$6))</f>
        <v/>
      </c>
      <c r="BG16" s="37" t="str">
        <f t="shared" ref="BG16" si="180" xml:space="preserve"> IF( $K16 = "", "",  IF($K16 * BG15 * BG$4 * BG$6 = 0, "", $K16 * BG15 * BG$4 * BG$6))</f>
        <v/>
      </c>
      <c r="BH16" s="37" t="str">
        <f t="shared" ref="BH16" si="181" xml:space="preserve"> IF( $K16 = "", "",  IF($K16 * BH15 * BH$4 * BH$6 = 0, "", $K16 * BH15 * BH$4 * BH$6))</f>
        <v/>
      </c>
      <c r="BI16" s="37" t="str">
        <f t="shared" ref="BI16" si="182" xml:space="preserve"> IF( $K16 = "", "",  IF($K16 * BI15 * BI$4 * BI$6 = 0, "", $K16 * BI15 * BI$4 * BI$6))</f>
        <v/>
      </c>
      <c r="BJ16" s="37" t="str">
        <f t="shared" ref="BJ16" si="183" xml:space="preserve"> IF( $K16 = "", "",  IF($K16 * BJ15 * BJ$4 * BJ$6 = 0, "", $K16 * BJ15 * BJ$4 * BJ$6))</f>
        <v/>
      </c>
      <c r="BK16" s="37" t="str">
        <f t="shared" ref="BK16" si="184" xml:space="preserve"> IF( $K16 = "", "",  IF($K16 * BK15 * BK$4 * BK$6 = 0, "", $K16 * BK15 * BK$4 * BK$6))</f>
        <v/>
      </c>
      <c r="BL16" s="37" t="str">
        <f t="shared" ref="BL16" si="185" xml:space="preserve"> IF( $K16 = "", "",  IF($K16 * BL15 * BL$4 * BL$6 = 0, "", $K16 * BL15 * BL$4 * BL$6))</f>
        <v/>
      </c>
      <c r="BM16" s="37" t="str">
        <f t="shared" ref="BM16" si="186" xml:space="preserve"> IF( $K16 = "", "",  IF($K16 * BM15 * BM$4 * BM$6 = 0, "", $K16 * BM15 * BM$4 * BM$6))</f>
        <v/>
      </c>
      <c r="BN16" s="37" t="str">
        <f t="shared" ref="BN16" si="187" xml:space="preserve"> IF( $K16 = "", "",  IF($K16 * BN15 * BN$4 * BN$6 = 0, "", $K16 * BN15 * BN$4 * BN$6))</f>
        <v/>
      </c>
      <c r="BO16" s="37" t="str">
        <f t="shared" ref="BO16" si="188" xml:space="preserve"> IF( $K16 = "", "",  IF($K16 * BO15 * BO$4 * BO$6 = 0, "", $K16 * BO15 * BO$4 * BO$6))</f>
        <v/>
      </c>
      <c r="BP16" s="37" t="str">
        <f t="shared" ref="BP16" si="189" xml:space="preserve"> IF( $K16 = "", "",  IF($K16 * BP15 * BP$4 * BP$6 = 0, "", $K16 * BP15 * BP$4 * BP$6))</f>
        <v/>
      </c>
      <c r="BQ16" s="37" t="str">
        <f t="shared" ref="BQ16" si="190" xml:space="preserve"> IF( $K16 = "", "",  IF($K16 * BQ15 * BQ$4 * BQ$6 = 0, "", $K16 * BQ15 * BQ$4 * BQ$6))</f>
        <v/>
      </c>
      <c r="BR16" s="37" t="str">
        <f t="shared" ref="BR16" si="191" xml:space="preserve"> IF( $K16 = "", "",  IF($K16 * BR15 * BR$4 * BR$6 = 0, "", $K16 * BR15 * BR$4 * BR$6))</f>
        <v/>
      </c>
      <c r="BS16" s="37" t="str">
        <f t="shared" ref="BS16" si="192" xml:space="preserve"> IF( $K16 = "", "",  IF($K16 * BS15 * BS$4 * BS$6 = 0, "", $K16 * BS15 * BS$4 * BS$6))</f>
        <v/>
      </c>
      <c r="BT16" s="37" t="str">
        <f t="shared" ref="BT16" si="193" xml:space="preserve"> IF( $K16 = "", "",  IF($K16 * BT15 * BT$4 * BT$6 = 0, "", $K16 * BT15 * BT$4 * BT$6))</f>
        <v/>
      </c>
      <c r="BU16" s="37" t="str">
        <f t="shared" ref="BU16" si="194" xml:space="preserve"> IF( $K16 = "", "",  IF($K16 * BU15 * BU$4 * BU$6 = 0, "", $K16 * BU15 * BU$4 * BU$6))</f>
        <v/>
      </c>
      <c r="BV16" s="37" t="str">
        <f t="shared" ref="BV16" si="195" xml:space="preserve"> IF( $K16 = "", "",  IF($K16 * BV15 * BV$4 * BV$6 = 0, "", $K16 * BV15 * BV$4 * BV$6))</f>
        <v/>
      </c>
      <c r="BW16" s="37" t="str">
        <f t="shared" ref="BW16" si="196" xml:space="preserve"> IF( $K16 = "", "",  IF($K16 * BW15 * BW$4 * BW$6 = 0, "", $K16 * BW15 * BW$4 * BW$6))</f>
        <v/>
      </c>
      <c r="BX16" s="37" t="str">
        <f t="shared" ref="BX16" si="197" xml:space="preserve"> IF( $K16 = "", "",  IF($K16 * BX15 * BX$4 * BX$6 = 0, "", $K16 * BX15 * BX$4 * BX$6))</f>
        <v/>
      </c>
      <c r="BY16" s="37" t="str">
        <f t="shared" ref="BY16" si="198" xml:space="preserve"> IF( $K16 = "", "",  IF($K16 * BY15 * BY$4 * BY$6 = 0, "", $K16 * BY15 * BY$4 * BY$6))</f>
        <v/>
      </c>
      <c r="BZ16" s="37" t="str">
        <f t="shared" ref="BZ16" si="199" xml:space="preserve"> IF( $K16 = "", "",  IF($K16 * BZ15 * BZ$4 * BZ$6 = 0, "", $K16 * BZ15 * BZ$4 * BZ$6))</f>
        <v/>
      </c>
      <c r="CA16" s="37" t="str">
        <f t="shared" ref="CA16" si="200" xml:space="preserve"> IF( $K16 = "", "",  IF($K16 * CA15 * CA$4 * CA$6 = 0, "", $K16 * CA15 * CA$4 * CA$6))</f>
        <v/>
      </c>
      <c r="CB16" s="37" t="str">
        <f t="shared" ref="CB16" si="201" xml:space="preserve"> IF( $K16 = "", "",  IF($K16 * CB15 * CB$4 * CB$6 = 0, "", $K16 * CB15 * CB$4 * CB$6))</f>
        <v/>
      </c>
      <c r="CC16" s="37" t="str">
        <f t="shared" ref="CC16" si="202" xml:space="preserve"> IF( $K16 = "", "",  IF($K16 * CC15 * CC$4 * CC$6 = 0, "", $K16 * CC15 * CC$4 * CC$6))</f>
        <v/>
      </c>
      <c r="CD16" s="41">
        <f>SUM(M16:CC16)</f>
        <v>166080</v>
      </c>
    </row>
    <row r="17" spans="1:82" customFormat="1" ht="15" x14ac:dyDescent="0.2">
      <c r="A17" s="6" t="str">
        <f>A46</f>
        <v>Francisco Parisi</v>
      </c>
      <c r="B17" s="7">
        <v>45352</v>
      </c>
      <c r="C17" s="7">
        <v>45413</v>
      </c>
      <c r="D17" s="20">
        <v>0.1</v>
      </c>
      <c r="E17" s="14"/>
      <c r="F17" s="14"/>
      <c r="G17" s="14"/>
      <c r="H17" s="33"/>
      <c r="I17" s="1"/>
      <c r="J17" s="8"/>
      <c r="K17" s="1"/>
      <c r="L17" s="1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27">
        <v>0.10000000149011612</v>
      </c>
      <c r="Z17" s="27">
        <v>0.10000000149011612</v>
      </c>
      <c r="AA17" s="27">
        <v>0.10000000149011612</v>
      </c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42"/>
    </row>
    <row r="18" spans="1:82" customFormat="1" ht="15" x14ac:dyDescent="0.2">
      <c r="A18" s="6" t="str">
        <f>A47</f>
        <v>Erik Okstad</v>
      </c>
      <c r="B18" s="7">
        <v>45444</v>
      </c>
      <c r="C18" s="7">
        <v>45536</v>
      </c>
      <c r="D18" s="20">
        <v>0.5</v>
      </c>
      <c r="E18" s="14"/>
      <c r="F18" s="14"/>
      <c r="G18" s="14"/>
      <c r="H18" s="33"/>
      <c r="I18" s="23" t="s">
        <v>15</v>
      </c>
      <c r="J18" s="29" t="str">
        <f xml:space="preserve"> IF(_xlfn.XLOOKUP(I18,$A$45:$A$58,$B$45:$B$58,999999,0) = 0, "", _xlfn.XLOOKUP(I18,$A$45:$A$58,$B$45:$B$58,999999,0))</f>
        <v>Staff Engineer</v>
      </c>
      <c r="K18" s="26">
        <f>IF(_xlfn.XLOOKUP(I18,$A$45:$A$58,$C$45:$C$58,999999,0) = 0, "", _xlfn.XLOOKUP(I18,$A$45:$A$58,$C$45:$C$58,999999,0))</f>
        <v>160</v>
      </c>
      <c r="L18" s="23"/>
      <c r="M18" s="37" t="str">
        <f xml:space="preserve"> IF( $K18 = "", "",  IF($K18 * M17 * M$4 * M$6 = 0, "", $K18 * M17 * M$4 * M$6))</f>
        <v/>
      </c>
      <c r="N18" s="37" t="str">
        <f t="shared" ref="N18" si="203" xml:space="preserve"> IF( $K18 = "", "",  IF($K18 * N17 * N$4 * N$6 = 0, "", $K18 * N17 * N$4 * N$6))</f>
        <v/>
      </c>
      <c r="O18" s="37" t="str">
        <f t="shared" ref="O18" si="204" xml:space="preserve"> IF( $K18 = "", "",  IF($K18 * O17 * O$4 * O$6 = 0, "", $K18 * O17 * O$4 * O$6))</f>
        <v/>
      </c>
      <c r="P18" s="37" t="str">
        <f t="shared" ref="P18" si="205" xml:space="preserve"> IF( $K18 = "", "",  IF($K18 * P17 * P$4 * P$6 = 0, "", $K18 * P17 * P$4 * P$6))</f>
        <v/>
      </c>
      <c r="Q18" s="37" t="str">
        <f t="shared" ref="Q18" si="206" xml:space="preserve"> IF( $K18 = "", "",  IF($K18 * Q17 * Q$4 * Q$6 = 0, "", $K18 * Q17 * Q$4 * Q$6))</f>
        <v/>
      </c>
      <c r="R18" s="37" t="str">
        <f t="shared" ref="R18" si="207" xml:space="preserve"> IF( $K18 = "", "",  IF($K18 * R17 * R$4 * R$6 = 0, "", $K18 * R17 * R$4 * R$6))</f>
        <v/>
      </c>
      <c r="S18" s="37" t="str">
        <f t="shared" ref="S18" si="208" xml:space="preserve"> IF( $K18 = "", "",  IF($K18 * S17 * S$4 * S$6 = 0, "", $K18 * S17 * S$4 * S$6))</f>
        <v/>
      </c>
      <c r="T18" s="37" t="str">
        <f t="shared" ref="T18" si="209" xml:space="preserve"> IF( $K18 = "", "",  IF($K18 * T17 * T$4 * T$6 = 0, "", $K18 * T17 * T$4 * T$6))</f>
        <v/>
      </c>
      <c r="U18" s="37" t="str">
        <f t="shared" ref="U18" si="210" xml:space="preserve"> IF( $K18 = "", "",  IF($K18 * U17 * U$4 * U$6 = 0, "", $K18 * U17 * U$4 * U$6))</f>
        <v/>
      </c>
      <c r="V18" s="37" t="str">
        <f t="shared" ref="V18" si="211" xml:space="preserve"> IF( $K18 = "", "",  IF($K18 * V17 * V$4 * V$6 = 0, "", $K18 * V17 * V$4 * V$6))</f>
        <v/>
      </c>
      <c r="W18" s="37" t="str">
        <f t="shared" ref="W18" si="212" xml:space="preserve"> IF( $K18 = "", "",  IF($K18 * W17 * W$4 * W$6 = 0, "", $K18 * W17 * W$4 * W$6))</f>
        <v/>
      </c>
      <c r="X18" s="37" t="str">
        <f t="shared" ref="X18" si="213" xml:space="preserve"> IF( $K18 = "", "",  IF($K18 * X17 * X$4 * X$6 = 0, "", $K18 * X17 * X$4 * X$6))</f>
        <v/>
      </c>
      <c r="Y18" s="37">
        <f t="shared" ref="Y18" si="214" xml:space="preserve"> IF( $K18 = "", "",  IF($K18 * Y17 * Y$4 * Y$6 = 0, "", $K18 * Y17 * Y$4 * Y$6))</f>
        <v>8304.0001237392426</v>
      </c>
      <c r="Z18" s="37">
        <f t="shared" ref="Z18" si="215" xml:space="preserve"> IF( $K18 = "", "",  IF($K18 * Z17 * Z$4 * Z$6 = 0, "", $K18 * Z17 * Z$4 * Z$6))</f>
        <v>8304.0001237392426</v>
      </c>
      <c r="AA18" s="37">
        <f t="shared" ref="AA18" si="216" xml:space="preserve"> IF( $K18 = "", "",  IF($K18 * AA17 * AA$4 * AA$6 = 0, "", $K18 * AA17 * AA$4 * AA$6))</f>
        <v>8304.0001237392426</v>
      </c>
      <c r="AB18" s="37" t="str">
        <f t="shared" ref="AB18" si="217" xml:space="preserve"> IF( $K18 = "", "",  IF($K18 * AB17 * AB$4 * AB$6 = 0, "", $K18 * AB17 * AB$4 * AB$6))</f>
        <v/>
      </c>
      <c r="AC18" s="37" t="str">
        <f t="shared" ref="AC18" si="218" xml:space="preserve"> IF( $K18 = "", "",  IF($K18 * AC17 * AC$4 * AC$6 = 0, "", $K18 * AC17 * AC$4 * AC$6))</f>
        <v/>
      </c>
      <c r="AD18" s="37" t="str">
        <f t="shared" ref="AD18" si="219" xml:space="preserve"> IF( $K18 = "", "",  IF($K18 * AD17 * AD$4 * AD$6 = 0, "", $K18 * AD17 * AD$4 * AD$6))</f>
        <v/>
      </c>
      <c r="AE18" s="37" t="str">
        <f t="shared" ref="AE18" si="220" xml:space="preserve"> IF( $K18 = "", "",  IF($K18 * AE17 * AE$4 * AE$6 = 0, "", $K18 * AE17 * AE$4 * AE$6))</f>
        <v/>
      </c>
      <c r="AF18" s="37" t="str">
        <f t="shared" ref="AF18" si="221" xml:space="preserve"> IF( $K18 = "", "",  IF($K18 * AF17 * AF$4 * AF$6 = 0, "", $K18 * AF17 * AF$4 * AF$6))</f>
        <v/>
      </c>
      <c r="AG18" s="37" t="str">
        <f t="shared" ref="AG18" si="222" xml:space="preserve"> IF( $K18 = "", "",  IF($K18 * AG17 * AG$4 * AG$6 = 0, "", $K18 * AG17 * AG$4 * AG$6))</f>
        <v/>
      </c>
      <c r="AH18" s="37" t="str">
        <f t="shared" ref="AH18" si="223" xml:space="preserve"> IF( $K18 = "", "",  IF($K18 * AH17 * AH$4 * AH$6 = 0, "", $K18 * AH17 * AH$4 * AH$6))</f>
        <v/>
      </c>
      <c r="AI18" s="37" t="str">
        <f t="shared" ref="AI18" si="224" xml:space="preserve"> IF( $K18 = "", "",  IF($K18 * AI17 * AI$4 * AI$6 = 0, "", $K18 * AI17 * AI$4 * AI$6))</f>
        <v/>
      </c>
      <c r="AJ18" s="37" t="str">
        <f t="shared" ref="AJ18" si="225" xml:space="preserve"> IF( $K18 = "", "",  IF($K18 * AJ17 * AJ$4 * AJ$6 = 0, "", $K18 * AJ17 * AJ$4 * AJ$6))</f>
        <v/>
      </c>
      <c r="AK18" s="37" t="str">
        <f t="shared" ref="AK18" si="226" xml:space="preserve"> IF( $K18 = "", "",  IF($K18 * AK17 * AK$4 * AK$6 = 0, "", $K18 * AK17 * AK$4 * AK$6))</f>
        <v/>
      </c>
      <c r="AL18" s="37" t="str">
        <f t="shared" ref="AL18" si="227" xml:space="preserve"> IF( $K18 = "", "",  IF($K18 * AL17 * AL$4 * AL$6 = 0, "", $K18 * AL17 * AL$4 * AL$6))</f>
        <v/>
      </c>
      <c r="AM18" s="37" t="str">
        <f t="shared" ref="AM18" si="228" xml:space="preserve"> IF( $K18 = "", "",  IF($K18 * AM17 * AM$4 * AM$6 = 0, "", $K18 * AM17 * AM$4 * AM$6))</f>
        <v/>
      </c>
      <c r="AN18" s="37" t="str">
        <f t="shared" ref="AN18" si="229" xml:space="preserve"> IF( $K18 = "", "",  IF($K18 * AN17 * AN$4 * AN$6 = 0, "", $K18 * AN17 * AN$4 * AN$6))</f>
        <v/>
      </c>
      <c r="AO18" s="37" t="str">
        <f t="shared" ref="AO18" si="230" xml:space="preserve"> IF( $K18 = "", "",  IF($K18 * AO17 * AO$4 * AO$6 = 0, "", $K18 * AO17 * AO$4 * AO$6))</f>
        <v/>
      </c>
      <c r="AP18" s="37" t="str">
        <f t="shared" ref="AP18" si="231" xml:space="preserve"> IF( $K18 = "", "",  IF($K18 * AP17 * AP$4 * AP$6 = 0, "", $K18 * AP17 * AP$4 * AP$6))</f>
        <v/>
      </c>
      <c r="AQ18" s="37" t="str">
        <f t="shared" ref="AQ18" si="232" xml:space="preserve"> IF( $K18 = "", "",  IF($K18 * AQ17 * AQ$4 * AQ$6 = 0, "", $K18 * AQ17 * AQ$4 * AQ$6))</f>
        <v/>
      </c>
      <c r="AR18" s="37" t="str">
        <f t="shared" ref="AR18" si="233" xml:space="preserve"> IF( $K18 = "", "",  IF($K18 * AR17 * AR$4 * AR$6 = 0, "", $K18 * AR17 * AR$4 * AR$6))</f>
        <v/>
      </c>
      <c r="AS18" s="37" t="str">
        <f t="shared" ref="AS18" si="234" xml:space="preserve"> IF( $K18 = "", "",  IF($K18 * AS17 * AS$4 * AS$6 = 0, "", $K18 * AS17 * AS$4 * AS$6))</f>
        <v/>
      </c>
      <c r="AT18" s="37" t="str">
        <f t="shared" ref="AT18" si="235" xml:space="preserve"> IF( $K18 = "", "",  IF($K18 * AT17 * AT$4 * AT$6 = 0, "", $K18 * AT17 * AT$4 * AT$6))</f>
        <v/>
      </c>
      <c r="AU18" s="37" t="str">
        <f t="shared" ref="AU18" si="236" xml:space="preserve"> IF( $K18 = "", "",  IF($K18 * AU17 * AU$4 * AU$6 = 0, "", $K18 * AU17 * AU$4 * AU$6))</f>
        <v/>
      </c>
      <c r="AV18" s="37" t="str">
        <f t="shared" ref="AV18" si="237" xml:space="preserve"> IF( $K18 = "", "",  IF($K18 * AV17 * AV$4 * AV$6 = 0, "", $K18 * AV17 * AV$4 * AV$6))</f>
        <v/>
      </c>
      <c r="AW18" s="37" t="str">
        <f t="shared" ref="AW18" si="238" xml:space="preserve"> IF( $K18 = "", "",  IF($K18 * AW17 * AW$4 * AW$6 = 0, "", $K18 * AW17 * AW$4 * AW$6))</f>
        <v/>
      </c>
      <c r="AX18" s="37" t="str">
        <f t="shared" ref="AX18" si="239" xml:space="preserve"> IF( $K18 = "", "",  IF($K18 * AX17 * AX$4 * AX$6 = 0, "", $K18 * AX17 * AX$4 * AX$6))</f>
        <v/>
      </c>
      <c r="AY18" s="37" t="str">
        <f t="shared" ref="AY18" si="240" xml:space="preserve"> IF( $K18 = "", "",  IF($K18 * AY17 * AY$4 * AY$6 = 0, "", $K18 * AY17 * AY$4 * AY$6))</f>
        <v/>
      </c>
      <c r="AZ18" s="37" t="str">
        <f t="shared" ref="AZ18" si="241" xml:space="preserve"> IF( $K18 = "", "",  IF($K18 * AZ17 * AZ$4 * AZ$6 = 0, "", $K18 * AZ17 * AZ$4 * AZ$6))</f>
        <v/>
      </c>
      <c r="BA18" s="37" t="str">
        <f t="shared" ref="BA18" si="242" xml:space="preserve"> IF( $K18 = "", "",  IF($K18 * BA17 * BA$4 * BA$6 = 0, "", $K18 * BA17 * BA$4 * BA$6))</f>
        <v/>
      </c>
      <c r="BB18" s="37" t="str">
        <f t="shared" ref="BB18" si="243" xml:space="preserve"> IF( $K18 = "", "",  IF($K18 * BB17 * BB$4 * BB$6 = 0, "", $K18 * BB17 * BB$4 * BB$6))</f>
        <v/>
      </c>
      <c r="BC18" s="37" t="str">
        <f t="shared" ref="BC18" si="244" xml:space="preserve"> IF( $K18 = "", "",  IF($K18 * BC17 * BC$4 * BC$6 = 0, "", $K18 * BC17 * BC$4 * BC$6))</f>
        <v/>
      </c>
      <c r="BD18" s="37" t="str">
        <f t="shared" ref="BD18" si="245" xml:space="preserve"> IF( $K18 = "", "",  IF($K18 * BD17 * BD$4 * BD$6 = 0, "", $K18 * BD17 * BD$4 * BD$6))</f>
        <v/>
      </c>
      <c r="BE18" s="37" t="str">
        <f t="shared" ref="BE18" si="246" xml:space="preserve"> IF( $K18 = "", "",  IF($K18 * BE17 * BE$4 * BE$6 = 0, "", $K18 * BE17 * BE$4 * BE$6))</f>
        <v/>
      </c>
      <c r="BF18" s="37" t="str">
        <f t="shared" ref="BF18" si="247" xml:space="preserve"> IF( $K18 = "", "",  IF($K18 * BF17 * BF$4 * BF$6 = 0, "", $K18 * BF17 * BF$4 * BF$6))</f>
        <v/>
      </c>
      <c r="BG18" s="37" t="str">
        <f t="shared" ref="BG18" si="248" xml:space="preserve"> IF( $K18 = "", "",  IF($K18 * BG17 * BG$4 * BG$6 = 0, "", $K18 * BG17 * BG$4 * BG$6))</f>
        <v/>
      </c>
      <c r="BH18" s="37" t="str">
        <f t="shared" ref="BH18" si="249" xml:space="preserve"> IF( $K18 = "", "",  IF($K18 * BH17 * BH$4 * BH$6 = 0, "", $K18 * BH17 * BH$4 * BH$6))</f>
        <v/>
      </c>
      <c r="BI18" s="37" t="str">
        <f t="shared" ref="BI18" si="250" xml:space="preserve"> IF( $K18 = "", "",  IF($K18 * BI17 * BI$4 * BI$6 = 0, "", $K18 * BI17 * BI$4 * BI$6))</f>
        <v/>
      </c>
      <c r="BJ18" s="37" t="str">
        <f t="shared" ref="BJ18" si="251" xml:space="preserve"> IF( $K18 = "", "",  IF($K18 * BJ17 * BJ$4 * BJ$6 = 0, "", $K18 * BJ17 * BJ$4 * BJ$6))</f>
        <v/>
      </c>
      <c r="BK18" s="37" t="str">
        <f t="shared" ref="BK18" si="252" xml:space="preserve"> IF( $K18 = "", "",  IF($K18 * BK17 * BK$4 * BK$6 = 0, "", $K18 * BK17 * BK$4 * BK$6))</f>
        <v/>
      </c>
      <c r="BL18" s="37" t="str">
        <f t="shared" ref="BL18" si="253" xml:space="preserve"> IF( $K18 = "", "",  IF($K18 * BL17 * BL$4 * BL$6 = 0, "", $K18 * BL17 * BL$4 * BL$6))</f>
        <v/>
      </c>
      <c r="BM18" s="37" t="str">
        <f t="shared" ref="BM18" si="254" xml:space="preserve"> IF( $K18 = "", "",  IF($K18 * BM17 * BM$4 * BM$6 = 0, "", $K18 * BM17 * BM$4 * BM$6))</f>
        <v/>
      </c>
      <c r="BN18" s="37" t="str">
        <f t="shared" ref="BN18" si="255" xml:space="preserve"> IF( $K18 = "", "",  IF($K18 * BN17 * BN$4 * BN$6 = 0, "", $K18 * BN17 * BN$4 * BN$6))</f>
        <v/>
      </c>
      <c r="BO18" s="37" t="str">
        <f t="shared" ref="BO18" si="256" xml:space="preserve"> IF( $K18 = "", "",  IF($K18 * BO17 * BO$4 * BO$6 = 0, "", $K18 * BO17 * BO$4 * BO$6))</f>
        <v/>
      </c>
      <c r="BP18" s="37" t="str">
        <f t="shared" ref="BP18" si="257" xml:space="preserve"> IF( $K18 = "", "",  IF($K18 * BP17 * BP$4 * BP$6 = 0, "", $K18 * BP17 * BP$4 * BP$6))</f>
        <v/>
      </c>
      <c r="BQ18" s="37" t="str">
        <f t="shared" ref="BQ18" si="258" xml:space="preserve"> IF( $K18 = "", "",  IF($K18 * BQ17 * BQ$4 * BQ$6 = 0, "", $K18 * BQ17 * BQ$4 * BQ$6))</f>
        <v/>
      </c>
      <c r="BR18" s="37" t="str">
        <f t="shared" ref="BR18" si="259" xml:space="preserve"> IF( $K18 = "", "",  IF($K18 * BR17 * BR$4 * BR$6 = 0, "", $K18 * BR17 * BR$4 * BR$6))</f>
        <v/>
      </c>
      <c r="BS18" s="37" t="str">
        <f t="shared" ref="BS18" si="260" xml:space="preserve"> IF( $K18 = "", "",  IF($K18 * BS17 * BS$4 * BS$6 = 0, "", $K18 * BS17 * BS$4 * BS$6))</f>
        <v/>
      </c>
      <c r="BT18" s="37" t="str">
        <f t="shared" ref="BT18" si="261" xml:space="preserve"> IF( $K18 = "", "",  IF($K18 * BT17 * BT$4 * BT$6 = 0, "", $K18 * BT17 * BT$4 * BT$6))</f>
        <v/>
      </c>
      <c r="BU18" s="37" t="str">
        <f t="shared" ref="BU18" si="262" xml:space="preserve"> IF( $K18 = "", "",  IF($K18 * BU17 * BU$4 * BU$6 = 0, "", $K18 * BU17 * BU$4 * BU$6))</f>
        <v/>
      </c>
      <c r="BV18" s="37" t="str">
        <f t="shared" ref="BV18" si="263" xml:space="preserve"> IF( $K18 = "", "",  IF($K18 * BV17 * BV$4 * BV$6 = 0, "", $K18 * BV17 * BV$4 * BV$6))</f>
        <v/>
      </c>
      <c r="BW18" s="37" t="str">
        <f t="shared" ref="BW18" si="264" xml:space="preserve"> IF( $K18 = "", "",  IF($K18 * BW17 * BW$4 * BW$6 = 0, "", $K18 * BW17 * BW$4 * BW$6))</f>
        <v/>
      </c>
      <c r="BX18" s="37" t="str">
        <f t="shared" ref="BX18" si="265" xml:space="preserve"> IF( $K18 = "", "",  IF($K18 * BX17 * BX$4 * BX$6 = 0, "", $K18 * BX17 * BX$4 * BX$6))</f>
        <v/>
      </c>
      <c r="BY18" s="37" t="str">
        <f t="shared" ref="BY18" si="266" xml:space="preserve"> IF( $K18 = "", "",  IF($K18 * BY17 * BY$4 * BY$6 = 0, "", $K18 * BY17 * BY$4 * BY$6))</f>
        <v/>
      </c>
      <c r="BZ18" s="37" t="str">
        <f t="shared" ref="BZ18" si="267" xml:space="preserve"> IF( $K18 = "", "",  IF($K18 * BZ17 * BZ$4 * BZ$6 = 0, "", $K18 * BZ17 * BZ$4 * BZ$6))</f>
        <v/>
      </c>
      <c r="CA18" s="37" t="str">
        <f t="shared" ref="CA18" si="268" xml:space="preserve"> IF( $K18 = "", "",  IF($K18 * CA17 * CA$4 * CA$6 = 0, "", $K18 * CA17 * CA$4 * CA$6))</f>
        <v/>
      </c>
      <c r="CB18" s="37" t="str">
        <f t="shared" ref="CB18" si="269" xml:space="preserve"> IF( $K18 = "", "",  IF($K18 * CB17 * CB$4 * CB$6 = 0, "", $K18 * CB17 * CB$4 * CB$6))</f>
        <v/>
      </c>
      <c r="CC18" s="37" t="str">
        <f t="shared" ref="CC18" si="270" xml:space="preserve"> IF( $K18 = "", "",  IF($K18 * CC17 * CC$4 * CC$6 = 0, "", $K18 * CC17 * CC$4 * CC$6))</f>
        <v/>
      </c>
      <c r="CD18" s="41">
        <f>SUM(M18:CC18)</f>
        <v>24912.000371217728</v>
      </c>
    </row>
    <row r="19" spans="1:82" customFormat="1" ht="15" x14ac:dyDescent="0.2">
      <c r="A19" s="6" t="str">
        <f>A48</f>
        <v>Jorge Moreno</v>
      </c>
      <c r="B19" s="7">
        <v>45566</v>
      </c>
      <c r="C19" s="7">
        <v>45627</v>
      </c>
      <c r="D19" s="20">
        <v>0.1</v>
      </c>
      <c r="E19" s="14"/>
      <c r="F19" s="14"/>
      <c r="G19" s="14"/>
      <c r="H19" s="33"/>
      <c r="I19" s="1"/>
      <c r="J19" s="8"/>
      <c r="K19" s="1"/>
      <c r="L19" s="1"/>
      <c r="M19" s="30">
        <v>9.9999997764825821E-3</v>
      </c>
      <c r="N19" s="30">
        <v>9.9999997764825821E-3</v>
      </c>
      <c r="O19" s="30">
        <v>9.9999997764825821E-3</v>
      </c>
      <c r="P19" s="30">
        <v>9.9999997764825821E-3</v>
      </c>
      <c r="Q19" s="30">
        <v>9.9999997764825821E-3</v>
      </c>
      <c r="R19" s="30">
        <v>9.9999997764825821E-3</v>
      </c>
      <c r="S19" s="30">
        <v>9.9999997764825821E-3</v>
      </c>
      <c r="T19" s="30">
        <v>9.9999997764825821E-3</v>
      </c>
      <c r="U19" s="30">
        <v>9.9999997764825821E-3</v>
      </c>
      <c r="V19" s="30">
        <v>9.9999997764825821E-3</v>
      </c>
      <c r="W19" s="30">
        <v>9.9999997764825821E-3</v>
      </c>
      <c r="X19" s="30">
        <v>9.9999997764825821E-3</v>
      </c>
      <c r="Y19" s="30">
        <v>9.9999997764825821E-3</v>
      </c>
      <c r="Z19" s="30">
        <v>9.9999997764825821E-3</v>
      </c>
      <c r="AA19" s="30">
        <v>9.9999997764825821E-3</v>
      </c>
      <c r="AB19" s="30">
        <v>9.9999997764825821E-3</v>
      </c>
      <c r="AC19" s="30">
        <v>9.9999997764825821E-3</v>
      </c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42"/>
    </row>
    <row r="20" spans="1:82" customFormat="1" ht="15" x14ac:dyDescent="0.2">
      <c r="A20" s="6" t="str">
        <f>A49</f>
        <v>Nelson Chen</v>
      </c>
      <c r="B20" s="7">
        <v>45200</v>
      </c>
      <c r="C20" s="7">
        <v>45689</v>
      </c>
      <c r="D20" s="20">
        <v>0.01</v>
      </c>
      <c r="E20" s="14"/>
      <c r="F20" s="14"/>
      <c r="G20" s="14"/>
      <c r="H20" s="33"/>
      <c r="I20" s="23" t="s">
        <v>19</v>
      </c>
      <c r="J20" s="29" t="str">
        <f xml:space="preserve"> IF(_xlfn.XLOOKUP(I20,$A$45:$A$58,$B$45:$B$58,999999,0) = 0, "", _xlfn.XLOOKUP(I20,$A$45:$A$58,$B$45:$B$58,999999,0))</f>
        <v>BIM Manager</v>
      </c>
      <c r="K20" s="26">
        <f>IF(_xlfn.XLOOKUP(I20,$A$45:$A$58,$C$45:$C$58,999999,0) = 0, "", _xlfn.XLOOKUP(I20,$A$45:$A$58,$C$45:$C$58,999999,0))</f>
        <v>140</v>
      </c>
      <c r="L20" s="23"/>
      <c r="M20" s="37">
        <f xml:space="preserve"> IF( $K20 = "", "",  IF($K20 * M19 * M$4 * M$6 = 0, "", $K20 * M19 * M$4 * M$6))</f>
        <v>726.59998375922441</v>
      </c>
      <c r="N20" s="37">
        <f t="shared" ref="N20" si="271" xml:space="preserve"> IF( $K20 = "", "",  IF($K20 * N19 * N$4 * N$6 = 0, "", $K20 * N19 * N$4 * N$6))</f>
        <v>726.59998375922441</v>
      </c>
      <c r="O20" s="37">
        <f t="shared" ref="O20" si="272" xml:space="preserve"> IF( $K20 = "", "",  IF($K20 * O19 * O$4 * O$6 = 0, "", $K20 * O19 * O$4 * O$6))</f>
        <v>726.59998375922441</v>
      </c>
      <c r="P20" s="37">
        <f t="shared" ref="P20" si="273" xml:space="preserve"> IF( $K20 = "", "",  IF($K20 * P19 * P$4 * P$6 = 0, "", $K20 * P19 * P$4 * P$6))</f>
        <v>726.59998375922441</v>
      </c>
      <c r="Q20" s="37">
        <f t="shared" ref="Q20" si="274" xml:space="preserve"> IF( $K20 = "", "",  IF($K20 * Q19 * Q$4 * Q$6 = 0, "", $K20 * Q19 * Q$4 * Q$6))</f>
        <v>726.59998375922441</v>
      </c>
      <c r="R20" s="37">
        <f t="shared" ref="R20" si="275" xml:space="preserve"> IF( $K20 = "", "",  IF($K20 * R19 * R$4 * R$6 = 0, "", $K20 * R19 * R$4 * R$6))</f>
        <v>726.59998375922441</v>
      </c>
      <c r="S20" s="37">
        <f t="shared" ref="S20" si="276" xml:space="preserve"> IF( $K20 = "", "",  IF($K20 * S19 * S$4 * S$6 = 0, "", $K20 * S19 * S$4 * S$6))</f>
        <v>726.59998375922441</v>
      </c>
      <c r="T20" s="37">
        <f t="shared" ref="T20" si="277" xml:space="preserve"> IF( $K20 = "", "",  IF($K20 * T19 * T$4 * T$6 = 0, "", $K20 * T19 * T$4 * T$6))</f>
        <v>726.59998375922441</v>
      </c>
      <c r="U20" s="37">
        <f t="shared" ref="U20" si="278" xml:space="preserve"> IF( $K20 = "", "",  IF($K20 * U19 * U$4 * U$6 = 0, "", $K20 * U19 * U$4 * U$6))</f>
        <v>726.59998375922441</v>
      </c>
      <c r="V20" s="37">
        <f t="shared" ref="V20" si="279" xml:space="preserve"> IF( $K20 = "", "",  IF($K20 * V19 * V$4 * V$6 = 0, "", $K20 * V19 * V$4 * V$6))</f>
        <v>726.59998375922441</v>
      </c>
      <c r="W20" s="37">
        <f t="shared" ref="W20" si="280" xml:space="preserve"> IF( $K20 = "", "",  IF($K20 * W19 * W$4 * W$6 = 0, "", $K20 * W19 * W$4 * W$6))</f>
        <v>726.59998375922441</v>
      </c>
      <c r="X20" s="37">
        <f t="shared" ref="X20" si="281" xml:space="preserve"> IF( $K20 = "", "",  IF($K20 * X19 * X$4 * X$6 = 0, "", $K20 * X19 * X$4 * X$6))</f>
        <v>726.59998375922441</v>
      </c>
      <c r="Y20" s="37">
        <f t="shared" ref="Y20" si="282" xml:space="preserve"> IF( $K20 = "", "",  IF($K20 * Y19 * Y$4 * Y$6 = 0, "", $K20 * Y19 * Y$4 * Y$6))</f>
        <v>726.59998375922441</v>
      </c>
      <c r="Z20" s="37">
        <f t="shared" ref="Z20" si="283" xml:space="preserve"> IF( $K20 = "", "",  IF($K20 * Z19 * Z$4 * Z$6 = 0, "", $K20 * Z19 * Z$4 * Z$6))</f>
        <v>726.59998375922441</v>
      </c>
      <c r="AA20" s="37">
        <f t="shared" ref="AA20" si="284" xml:space="preserve"> IF( $K20 = "", "",  IF($K20 * AA19 * AA$4 * AA$6 = 0, "", $K20 * AA19 * AA$4 * AA$6))</f>
        <v>726.59998375922441</v>
      </c>
      <c r="AB20" s="37">
        <f t="shared" ref="AB20" si="285" xml:space="preserve"> IF( $K20 = "", "",  IF($K20 * AB19 * AB$4 * AB$6 = 0, "", $K20 * AB19 * AB$4 * AB$6))</f>
        <v>726.59998375922441</v>
      </c>
      <c r="AC20" s="37">
        <f t="shared" ref="AC20" si="286" xml:space="preserve"> IF( $K20 = "", "",  IF($K20 * AC19 * AC$4 * AC$6 = 0, "", $K20 * AC19 * AC$4 * AC$6))</f>
        <v>726.59998375922441</v>
      </c>
      <c r="AD20" s="37" t="str">
        <f t="shared" ref="AD20" si="287" xml:space="preserve"> IF( $K20 = "", "",  IF($K20 * AD19 * AD$4 * AD$6 = 0, "", $K20 * AD19 * AD$4 * AD$6))</f>
        <v/>
      </c>
      <c r="AE20" s="37" t="str">
        <f t="shared" ref="AE20" si="288" xml:space="preserve"> IF( $K20 = "", "",  IF($K20 * AE19 * AE$4 * AE$6 = 0, "", $K20 * AE19 * AE$4 * AE$6))</f>
        <v/>
      </c>
      <c r="AF20" s="37" t="str">
        <f t="shared" ref="AF20" si="289" xml:space="preserve"> IF( $K20 = "", "",  IF($K20 * AF19 * AF$4 * AF$6 = 0, "", $K20 * AF19 * AF$4 * AF$6))</f>
        <v/>
      </c>
      <c r="AG20" s="37" t="str">
        <f t="shared" ref="AG20" si="290" xml:space="preserve"> IF( $K20 = "", "",  IF($K20 * AG19 * AG$4 * AG$6 = 0, "", $K20 * AG19 * AG$4 * AG$6))</f>
        <v/>
      </c>
      <c r="AH20" s="37" t="str">
        <f t="shared" ref="AH20" si="291" xml:space="preserve"> IF( $K20 = "", "",  IF($K20 * AH19 * AH$4 * AH$6 = 0, "", $K20 * AH19 * AH$4 * AH$6))</f>
        <v/>
      </c>
      <c r="AI20" s="37" t="str">
        <f t="shared" ref="AI20" si="292" xml:space="preserve"> IF( $K20 = "", "",  IF($K20 * AI19 * AI$4 * AI$6 = 0, "", $K20 * AI19 * AI$4 * AI$6))</f>
        <v/>
      </c>
      <c r="AJ20" s="37" t="str">
        <f t="shared" ref="AJ20" si="293" xml:space="preserve"> IF( $K20 = "", "",  IF($K20 * AJ19 * AJ$4 * AJ$6 = 0, "", $K20 * AJ19 * AJ$4 * AJ$6))</f>
        <v/>
      </c>
      <c r="AK20" s="37" t="str">
        <f t="shared" ref="AK20" si="294" xml:space="preserve"> IF( $K20 = "", "",  IF($K20 * AK19 * AK$4 * AK$6 = 0, "", $K20 * AK19 * AK$4 * AK$6))</f>
        <v/>
      </c>
      <c r="AL20" s="37" t="str">
        <f t="shared" ref="AL20" si="295" xml:space="preserve"> IF( $K20 = "", "",  IF($K20 * AL19 * AL$4 * AL$6 = 0, "", $K20 * AL19 * AL$4 * AL$6))</f>
        <v/>
      </c>
      <c r="AM20" s="37" t="str">
        <f t="shared" ref="AM20" si="296" xml:space="preserve"> IF( $K20 = "", "",  IF($K20 * AM19 * AM$4 * AM$6 = 0, "", $K20 * AM19 * AM$4 * AM$6))</f>
        <v/>
      </c>
      <c r="AN20" s="37" t="str">
        <f t="shared" ref="AN20" si="297" xml:space="preserve"> IF( $K20 = "", "",  IF($K20 * AN19 * AN$4 * AN$6 = 0, "", $K20 * AN19 * AN$4 * AN$6))</f>
        <v/>
      </c>
      <c r="AO20" s="37" t="str">
        <f t="shared" ref="AO20" si="298" xml:space="preserve"> IF( $K20 = "", "",  IF($K20 * AO19 * AO$4 * AO$6 = 0, "", $K20 * AO19 * AO$4 * AO$6))</f>
        <v/>
      </c>
      <c r="AP20" s="37" t="str">
        <f t="shared" ref="AP20" si="299" xml:space="preserve"> IF( $K20 = "", "",  IF($K20 * AP19 * AP$4 * AP$6 = 0, "", $K20 * AP19 * AP$4 * AP$6))</f>
        <v/>
      </c>
      <c r="AQ20" s="37" t="str">
        <f t="shared" ref="AQ20" si="300" xml:space="preserve"> IF( $K20 = "", "",  IF($K20 * AQ19 * AQ$4 * AQ$6 = 0, "", $K20 * AQ19 * AQ$4 * AQ$6))</f>
        <v/>
      </c>
      <c r="AR20" s="37" t="str">
        <f t="shared" ref="AR20" si="301" xml:space="preserve"> IF( $K20 = "", "",  IF($K20 * AR19 * AR$4 * AR$6 = 0, "", $K20 * AR19 * AR$4 * AR$6))</f>
        <v/>
      </c>
      <c r="AS20" s="37" t="str">
        <f t="shared" ref="AS20" si="302" xml:space="preserve"> IF( $K20 = "", "",  IF($K20 * AS19 * AS$4 * AS$6 = 0, "", $K20 * AS19 * AS$4 * AS$6))</f>
        <v/>
      </c>
      <c r="AT20" s="37" t="str">
        <f t="shared" ref="AT20" si="303" xml:space="preserve"> IF( $K20 = "", "",  IF($K20 * AT19 * AT$4 * AT$6 = 0, "", $K20 * AT19 * AT$4 * AT$6))</f>
        <v/>
      </c>
      <c r="AU20" s="37" t="str">
        <f t="shared" ref="AU20" si="304" xml:space="preserve"> IF( $K20 = "", "",  IF($K20 * AU19 * AU$4 * AU$6 = 0, "", $K20 * AU19 * AU$4 * AU$6))</f>
        <v/>
      </c>
      <c r="AV20" s="37" t="str">
        <f t="shared" ref="AV20" si="305" xml:space="preserve"> IF( $K20 = "", "",  IF($K20 * AV19 * AV$4 * AV$6 = 0, "", $K20 * AV19 * AV$4 * AV$6))</f>
        <v/>
      </c>
      <c r="AW20" s="37" t="str">
        <f t="shared" ref="AW20" si="306" xml:space="preserve"> IF( $K20 = "", "",  IF($K20 * AW19 * AW$4 * AW$6 = 0, "", $K20 * AW19 * AW$4 * AW$6))</f>
        <v/>
      </c>
      <c r="AX20" s="37" t="str">
        <f t="shared" ref="AX20" si="307" xml:space="preserve"> IF( $K20 = "", "",  IF($K20 * AX19 * AX$4 * AX$6 = 0, "", $K20 * AX19 * AX$4 * AX$6))</f>
        <v/>
      </c>
      <c r="AY20" s="37" t="str">
        <f t="shared" ref="AY20" si="308" xml:space="preserve"> IF( $K20 = "", "",  IF($K20 * AY19 * AY$4 * AY$6 = 0, "", $K20 * AY19 * AY$4 * AY$6))</f>
        <v/>
      </c>
      <c r="AZ20" s="37" t="str">
        <f t="shared" ref="AZ20" si="309" xml:space="preserve"> IF( $K20 = "", "",  IF($K20 * AZ19 * AZ$4 * AZ$6 = 0, "", $K20 * AZ19 * AZ$4 * AZ$6))</f>
        <v/>
      </c>
      <c r="BA20" s="37" t="str">
        <f t="shared" ref="BA20" si="310" xml:space="preserve"> IF( $K20 = "", "",  IF($K20 * BA19 * BA$4 * BA$6 = 0, "", $K20 * BA19 * BA$4 * BA$6))</f>
        <v/>
      </c>
      <c r="BB20" s="37" t="str">
        <f t="shared" ref="BB20" si="311" xml:space="preserve"> IF( $K20 = "", "",  IF($K20 * BB19 * BB$4 * BB$6 = 0, "", $K20 * BB19 * BB$4 * BB$6))</f>
        <v/>
      </c>
      <c r="BC20" s="37" t="str">
        <f t="shared" ref="BC20" si="312" xml:space="preserve"> IF( $K20 = "", "",  IF($K20 * BC19 * BC$4 * BC$6 = 0, "", $K20 * BC19 * BC$4 * BC$6))</f>
        <v/>
      </c>
      <c r="BD20" s="37" t="str">
        <f t="shared" ref="BD20" si="313" xml:space="preserve"> IF( $K20 = "", "",  IF($K20 * BD19 * BD$4 * BD$6 = 0, "", $K20 * BD19 * BD$4 * BD$6))</f>
        <v/>
      </c>
      <c r="BE20" s="37" t="str">
        <f t="shared" ref="BE20" si="314" xml:space="preserve"> IF( $K20 = "", "",  IF($K20 * BE19 * BE$4 * BE$6 = 0, "", $K20 * BE19 * BE$4 * BE$6))</f>
        <v/>
      </c>
      <c r="BF20" s="37" t="str">
        <f t="shared" ref="BF20" si="315" xml:space="preserve"> IF( $K20 = "", "",  IF($K20 * BF19 * BF$4 * BF$6 = 0, "", $K20 * BF19 * BF$4 * BF$6))</f>
        <v/>
      </c>
      <c r="BG20" s="37" t="str">
        <f t="shared" ref="BG20" si="316" xml:space="preserve"> IF( $K20 = "", "",  IF($K20 * BG19 * BG$4 * BG$6 = 0, "", $K20 * BG19 * BG$4 * BG$6))</f>
        <v/>
      </c>
      <c r="BH20" s="37" t="str">
        <f t="shared" ref="BH20" si="317" xml:space="preserve"> IF( $K20 = "", "",  IF($K20 * BH19 * BH$4 * BH$6 = 0, "", $K20 * BH19 * BH$4 * BH$6))</f>
        <v/>
      </c>
      <c r="BI20" s="37" t="str">
        <f t="shared" ref="BI20" si="318" xml:space="preserve"> IF( $K20 = "", "",  IF($K20 * BI19 * BI$4 * BI$6 = 0, "", $K20 * BI19 * BI$4 * BI$6))</f>
        <v/>
      </c>
      <c r="BJ20" s="37" t="str">
        <f t="shared" ref="BJ20" si="319" xml:space="preserve"> IF( $K20 = "", "",  IF($K20 * BJ19 * BJ$4 * BJ$6 = 0, "", $K20 * BJ19 * BJ$4 * BJ$6))</f>
        <v/>
      </c>
      <c r="BK20" s="37" t="str">
        <f t="shared" ref="BK20" si="320" xml:space="preserve"> IF( $K20 = "", "",  IF($K20 * BK19 * BK$4 * BK$6 = 0, "", $K20 * BK19 * BK$4 * BK$6))</f>
        <v/>
      </c>
      <c r="BL20" s="37" t="str">
        <f t="shared" ref="BL20" si="321" xml:space="preserve"> IF( $K20 = "", "",  IF($K20 * BL19 * BL$4 * BL$6 = 0, "", $K20 * BL19 * BL$4 * BL$6))</f>
        <v/>
      </c>
      <c r="BM20" s="37" t="str">
        <f t="shared" ref="BM20" si="322" xml:space="preserve"> IF( $K20 = "", "",  IF($K20 * BM19 * BM$4 * BM$6 = 0, "", $K20 * BM19 * BM$4 * BM$6))</f>
        <v/>
      </c>
      <c r="BN20" s="37" t="str">
        <f t="shared" ref="BN20" si="323" xml:space="preserve"> IF( $K20 = "", "",  IF($K20 * BN19 * BN$4 * BN$6 = 0, "", $K20 * BN19 * BN$4 * BN$6))</f>
        <v/>
      </c>
      <c r="BO20" s="37" t="str">
        <f t="shared" ref="BO20" si="324" xml:space="preserve"> IF( $K20 = "", "",  IF($K20 * BO19 * BO$4 * BO$6 = 0, "", $K20 * BO19 * BO$4 * BO$6))</f>
        <v/>
      </c>
      <c r="BP20" s="37" t="str">
        <f t="shared" ref="BP20" si="325" xml:space="preserve"> IF( $K20 = "", "",  IF($K20 * BP19 * BP$4 * BP$6 = 0, "", $K20 * BP19 * BP$4 * BP$6))</f>
        <v/>
      </c>
      <c r="BQ20" s="37" t="str">
        <f t="shared" ref="BQ20" si="326" xml:space="preserve"> IF( $K20 = "", "",  IF($K20 * BQ19 * BQ$4 * BQ$6 = 0, "", $K20 * BQ19 * BQ$4 * BQ$6))</f>
        <v/>
      </c>
      <c r="BR20" s="37" t="str">
        <f t="shared" ref="BR20" si="327" xml:space="preserve"> IF( $K20 = "", "",  IF($K20 * BR19 * BR$4 * BR$6 = 0, "", $K20 * BR19 * BR$4 * BR$6))</f>
        <v/>
      </c>
      <c r="BS20" s="37" t="str">
        <f t="shared" ref="BS20" si="328" xml:space="preserve"> IF( $K20 = "", "",  IF($K20 * BS19 * BS$4 * BS$6 = 0, "", $K20 * BS19 * BS$4 * BS$6))</f>
        <v/>
      </c>
      <c r="BT20" s="37" t="str">
        <f t="shared" ref="BT20" si="329" xml:space="preserve"> IF( $K20 = "", "",  IF($K20 * BT19 * BT$4 * BT$6 = 0, "", $K20 * BT19 * BT$4 * BT$6))</f>
        <v/>
      </c>
      <c r="BU20" s="37" t="str">
        <f t="shared" ref="BU20" si="330" xml:space="preserve"> IF( $K20 = "", "",  IF($K20 * BU19 * BU$4 * BU$6 = 0, "", $K20 * BU19 * BU$4 * BU$6))</f>
        <v/>
      </c>
      <c r="BV20" s="37" t="str">
        <f t="shared" ref="BV20" si="331" xml:space="preserve"> IF( $K20 = "", "",  IF($K20 * BV19 * BV$4 * BV$6 = 0, "", $K20 * BV19 * BV$4 * BV$6))</f>
        <v/>
      </c>
      <c r="BW20" s="37" t="str">
        <f t="shared" ref="BW20" si="332" xml:space="preserve"> IF( $K20 = "", "",  IF($K20 * BW19 * BW$4 * BW$6 = 0, "", $K20 * BW19 * BW$4 * BW$6))</f>
        <v/>
      </c>
      <c r="BX20" s="37" t="str">
        <f t="shared" ref="BX20" si="333" xml:space="preserve"> IF( $K20 = "", "",  IF($K20 * BX19 * BX$4 * BX$6 = 0, "", $K20 * BX19 * BX$4 * BX$6))</f>
        <v/>
      </c>
      <c r="BY20" s="37" t="str">
        <f t="shared" ref="BY20" si="334" xml:space="preserve"> IF( $K20 = "", "",  IF($K20 * BY19 * BY$4 * BY$6 = 0, "", $K20 * BY19 * BY$4 * BY$6))</f>
        <v/>
      </c>
      <c r="BZ20" s="37" t="str">
        <f t="shared" ref="BZ20" si="335" xml:space="preserve"> IF( $K20 = "", "",  IF($K20 * BZ19 * BZ$4 * BZ$6 = 0, "", $K20 * BZ19 * BZ$4 * BZ$6))</f>
        <v/>
      </c>
      <c r="CA20" s="37" t="str">
        <f t="shared" ref="CA20" si="336" xml:space="preserve"> IF( $K20 = "", "",  IF($K20 * CA19 * CA$4 * CA$6 = 0, "", $K20 * CA19 * CA$4 * CA$6))</f>
        <v/>
      </c>
      <c r="CB20" s="37" t="str">
        <f t="shared" ref="CB20" si="337" xml:space="preserve"> IF( $K20 = "", "",  IF($K20 * CB19 * CB$4 * CB$6 = 0, "", $K20 * CB19 * CB$4 * CB$6))</f>
        <v/>
      </c>
      <c r="CC20" s="37" t="str">
        <f t="shared" ref="CC20" si="338" xml:space="preserve"> IF( $K20 = "", "",  IF($K20 * CC19 * CC$4 * CC$6 = 0, "", $K20 * CC19 * CC$4 * CC$6))</f>
        <v/>
      </c>
      <c r="CD20" s="41">
        <f>SUM(M20:CC20)</f>
        <v>12352.199723906815</v>
      </c>
    </row>
    <row r="21" spans="1:82" customFormat="1" ht="15" x14ac:dyDescent="0.2">
      <c r="A21" s="6"/>
      <c r="B21" s="7"/>
      <c r="C21" s="7"/>
      <c r="D21" s="20"/>
      <c r="E21" s="14"/>
      <c r="F21" s="14"/>
      <c r="G21" s="14"/>
      <c r="H21" s="33"/>
      <c r="I21" s="1"/>
      <c r="J21" s="8"/>
      <c r="K21" s="1"/>
      <c r="L21" s="1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4"/>
      <c r="AC21" s="54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42"/>
    </row>
    <row r="22" spans="1:82" customFormat="1" ht="15" x14ac:dyDescent="0.2">
      <c r="A22" s="6"/>
      <c r="B22" s="7"/>
      <c r="C22" s="7"/>
      <c r="D22" s="20"/>
      <c r="E22" s="14"/>
      <c r="F22" s="14"/>
      <c r="G22" s="14"/>
      <c r="H22" s="33"/>
      <c r="I22" s="23"/>
      <c r="J22" s="29" t="str">
        <f xml:space="preserve"> IF(_xlfn.XLOOKUP(I22,$A$45:$A$58,$B$45:$B$58,999999,0) = 0, "", _xlfn.XLOOKUP(I22,$A$45:$A$58,$B$45:$B$58,999999,0))</f>
        <v/>
      </c>
      <c r="K22" s="26" t="str">
        <f>IF(_xlfn.XLOOKUP(I22,$A$45:$A$58,$C$45:$C$58,999999,0) = 0, "", _xlfn.XLOOKUP(I22,$A$45:$A$58,$C$45:$C$58,999999,0))</f>
        <v/>
      </c>
      <c r="L22" s="23"/>
      <c r="M22" s="37" t="str">
        <f xml:space="preserve"> IF( $K22 = "", "",  IF($K22 * M21 * M$4 * M$6 = 0, "", $K22 * M21 * M$4 * M$6))</f>
        <v/>
      </c>
      <c r="N22" s="37" t="str">
        <f t="shared" ref="N22:BY22" si="339" xml:space="preserve"> IF( $K22 = "", "",  IF($K22 * N21 * N$4 * N$6 = 0, "", $K22 * N21 * N$4 * N$6))</f>
        <v/>
      </c>
      <c r="O22" s="37" t="str">
        <f t="shared" si="339"/>
        <v/>
      </c>
      <c r="P22" s="37" t="str">
        <f t="shared" si="339"/>
        <v/>
      </c>
      <c r="Q22" s="37" t="str">
        <f t="shared" si="339"/>
        <v/>
      </c>
      <c r="R22" s="37" t="str">
        <f t="shared" si="339"/>
        <v/>
      </c>
      <c r="S22" s="37" t="str">
        <f t="shared" si="339"/>
        <v/>
      </c>
      <c r="T22" s="37" t="str">
        <f t="shared" si="339"/>
        <v/>
      </c>
      <c r="U22" s="37" t="str">
        <f t="shared" si="339"/>
        <v/>
      </c>
      <c r="V22" s="37" t="str">
        <f t="shared" si="339"/>
        <v/>
      </c>
      <c r="W22" s="37" t="str">
        <f t="shared" si="339"/>
        <v/>
      </c>
      <c r="X22" s="37" t="str">
        <f t="shared" si="339"/>
        <v/>
      </c>
      <c r="Y22" s="37" t="str">
        <f t="shared" si="339"/>
        <v/>
      </c>
      <c r="Z22" s="37" t="str">
        <f t="shared" si="339"/>
        <v/>
      </c>
      <c r="AA22" s="37" t="str">
        <f t="shared" si="339"/>
        <v/>
      </c>
      <c r="AB22" s="37" t="str">
        <f t="shared" si="339"/>
        <v/>
      </c>
      <c r="AC22" s="37" t="str">
        <f t="shared" si="339"/>
        <v/>
      </c>
      <c r="AD22" s="37" t="str">
        <f t="shared" si="339"/>
        <v/>
      </c>
      <c r="AE22" s="37" t="str">
        <f t="shared" si="339"/>
        <v/>
      </c>
      <c r="AF22" s="37" t="str">
        <f t="shared" si="339"/>
        <v/>
      </c>
      <c r="AG22" s="37" t="str">
        <f t="shared" si="339"/>
        <v/>
      </c>
      <c r="AH22" s="37" t="str">
        <f t="shared" si="339"/>
        <v/>
      </c>
      <c r="AI22" s="37" t="str">
        <f t="shared" si="339"/>
        <v/>
      </c>
      <c r="AJ22" s="37" t="str">
        <f t="shared" si="339"/>
        <v/>
      </c>
      <c r="AK22" s="37" t="str">
        <f t="shared" si="339"/>
        <v/>
      </c>
      <c r="AL22" s="37" t="str">
        <f t="shared" si="339"/>
        <v/>
      </c>
      <c r="AM22" s="37" t="str">
        <f t="shared" si="339"/>
        <v/>
      </c>
      <c r="AN22" s="37" t="str">
        <f t="shared" si="339"/>
        <v/>
      </c>
      <c r="AO22" s="37" t="str">
        <f t="shared" si="339"/>
        <v/>
      </c>
      <c r="AP22" s="37" t="str">
        <f t="shared" si="339"/>
        <v/>
      </c>
      <c r="AQ22" s="37" t="str">
        <f t="shared" si="339"/>
        <v/>
      </c>
      <c r="AR22" s="37" t="str">
        <f t="shared" si="339"/>
        <v/>
      </c>
      <c r="AS22" s="37" t="str">
        <f t="shared" si="339"/>
        <v/>
      </c>
      <c r="AT22" s="37" t="str">
        <f t="shared" si="339"/>
        <v/>
      </c>
      <c r="AU22" s="37" t="str">
        <f t="shared" si="339"/>
        <v/>
      </c>
      <c r="AV22" s="37" t="str">
        <f t="shared" si="339"/>
        <v/>
      </c>
      <c r="AW22" s="37" t="str">
        <f t="shared" si="339"/>
        <v/>
      </c>
      <c r="AX22" s="37" t="str">
        <f t="shared" si="339"/>
        <v/>
      </c>
      <c r="AY22" s="37" t="str">
        <f t="shared" si="339"/>
        <v/>
      </c>
      <c r="AZ22" s="37" t="str">
        <f t="shared" si="339"/>
        <v/>
      </c>
      <c r="BA22" s="37" t="str">
        <f t="shared" si="339"/>
        <v/>
      </c>
      <c r="BB22" s="37" t="str">
        <f t="shared" si="339"/>
        <v/>
      </c>
      <c r="BC22" s="37" t="str">
        <f t="shared" si="339"/>
        <v/>
      </c>
      <c r="BD22" s="37" t="str">
        <f t="shared" si="339"/>
        <v/>
      </c>
      <c r="BE22" s="37" t="str">
        <f t="shared" si="339"/>
        <v/>
      </c>
      <c r="BF22" s="37" t="str">
        <f t="shared" si="339"/>
        <v/>
      </c>
      <c r="BG22" s="37" t="str">
        <f t="shared" si="339"/>
        <v/>
      </c>
      <c r="BH22" s="37" t="str">
        <f t="shared" si="339"/>
        <v/>
      </c>
      <c r="BI22" s="37" t="str">
        <f t="shared" si="339"/>
        <v/>
      </c>
      <c r="BJ22" s="37" t="str">
        <f t="shared" si="339"/>
        <v/>
      </c>
      <c r="BK22" s="37" t="str">
        <f t="shared" si="339"/>
        <v/>
      </c>
      <c r="BL22" s="37" t="str">
        <f t="shared" si="339"/>
        <v/>
      </c>
      <c r="BM22" s="37" t="str">
        <f t="shared" si="339"/>
        <v/>
      </c>
      <c r="BN22" s="37" t="str">
        <f t="shared" si="339"/>
        <v/>
      </c>
      <c r="BO22" s="37" t="str">
        <f t="shared" si="339"/>
        <v/>
      </c>
      <c r="BP22" s="37" t="str">
        <f t="shared" si="339"/>
        <v/>
      </c>
      <c r="BQ22" s="37" t="str">
        <f t="shared" si="339"/>
        <v/>
      </c>
      <c r="BR22" s="37" t="str">
        <f t="shared" si="339"/>
        <v/>
      </c>
      <c r="BS22" s="37" t="str">
        <f t="shared" si="339"/>
        <v/>
      </c>
      <c r="BT22" s="37" t="str">
        <f t="shared" si="339"/>
        <v/>
      </c>
      <c r="BU22" s="37" t="str">
        <f t="shared" si="339"/>
        <v/>
      </c>
      <c r="BV22" s="37" t="str">
        <f t="shared" si="339"/>
        <v/>
      </c>
      <c r="BW22" s="37" t="str">
        <f t="shared" si="339"/>
        <v/>
      </c>
      <c r="BX22" s="37" t="str">
        <f t="shared" si="339"/>
        <v/>
      </c>
      <c r="BY22" s="37" t="str">
        <f t="shared" si="339"/>
        <v/>
      </c>
      <c r="BZ22" s="37" t="str">
        <f t="shared" ref="BZ22:CC22" si="340" xml:space="preserve"> IF( $K22 = "", "",  IF($K22 * BZ21 * BZ$4 * BZ$6 = 0, "", $K22 * BZ21 * BZ$4 * BZ$6))</f>
        <v/>
      </c>
      <c r="CA22" s="37" t="str">
        <f t="shared" si="340"/>
        <v/>
      </c>
      <c r="CB22" s="37" t="str">
        <f t="shared" si="340"/>
        <v/>
      </c>
      <c r="CC22" s="37" t="str">
        <f t="shared" si="340"/>
        <v/>
      </c>
      <c r="CD22" s="41">
        <f>SUM(M22:CC22)</f>
        <v>0</v>
      </c>
    </row>
    <row r="23" spans="1:82" customFormat="1" ht="15" x14ac:dyDescent="0.2">
      <c r="A23" s="1"/>
      <c r="B23" s="1"/>
      <c r="C23" s="1"/>
      <c r="D23" s="1"/>
      <c r="E23" s="1"/>
      <c r="F23" s="1"/>
      <c r="G23" s="1"/>
      <c r="H23" s="13"/>
      <c r="I23" s="1"/>
      <c r="J23" s="8"/>
      <c r="K23" s="1"/>
      <c r="L23" s="1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42"/>
    </row>
    <row r="24" spans="1:82" customFormat="1" ht="15" x14ac:dyDescent="0.2">
      <c r="A24" s="1"/>
      <c r="B24" s="1"/>
      <c r="C24" s="1"/>
      <c r="D24" s="1"/>
      <c r="E24" s="1"/>
      <c r="F24" s="1"/>
      <c r="G24" s="1"/>
      <c r="H24" s="13"/>
      <c r="I24" s="23"/>
      <c r="J24" s="29" t="str">
        <f xml:space="preserve"> IF(_xlfn.XLOOKUP(I24,$A$45:$A$58,$B$45:$B$58,999999,0) = 0, "", _xlfn.XLOOKUP(I24,$A$45:$A$58,$B$45:$B$58,999999,0))</f>
        <v/>
      </c>
      <c r="K24" s="26" t="str">
        <f>IF(_xlfn.XLOOKUP(I24,$A$45:$A$58,$C$45:$C$58,999999,0) = 0, "", _xlfn.XLOOKUP(I24,$A$45:$A$58,$C$45:$C$58,999999,0))</f>
        <v/>
      </c>
      <c r="L24" s="23"/>
      <c r="M24" s="37" t="str">
        <f xml:space="preserve"> IF( $K24 = "", "",  IF($K24 * M23 * M$4 * M$6 = 0, "", $K24 * M23 * M$4 * M$6))</f>
        <v/>
      </c>
      <c r="N24" s="37" t="str">
        <f t="shared" ref="N24" si="341" xml:space="preserve"> IF( $K24 = "", "",  IF($K24 * N23 * N$4 * N$6 = 0, "", $K24 * N23 * N$4 * N$6))</f>
        <v/>
      </c>
      <c r="O24" s="37" t="str">
        <f t="shared" ref="O24" si="342" xml:space="preserve"> IF( $K24 = "", "",  IF($K24 * O23 * O$4 * O$6 = 0, "", $K24 * O23 * O$4 * O$6))</f>
        <v/>
      </c>
      <c r="P24" s="37" t="str">
        <f t="shared" ref="P24" si="343" xml:space="preserve"> IF( $K24 = "", "",  IF($K24 * P23 * P$4 * P$6 = 0, "", $K24 * P23 * P$4 * P$6))</f>
        <v/>
      </c>
      <c r="Q24" s="37" t="str">
        <f t="shared" ref="Q24" si="344" xml:space="preserve"> IF( $K24 = "", "",  IF($K24 * Q23 * Q$4 * Q$6 = 0, "", $K24 * Q23 * Q$4 * Q$6))</f>
        <v/>
      </c>
      <c r="R24" s="37" t="str">
        <f t="shared" ref="R24" si="345" xml:space="preserve"> IF( $K24 = "", "",  IF($K24 * R23 * R$4 * R$6 = 0, "", $K24 * R23 * R$4 * R$6))</f>
        <v/>
      </c>
      <c r="S24" s="37" t="str">
        <f t="shared" ref="S24" si="346" xml:space="preserve"> IF( $K24 = "", "",  IF($K24 * S23 * S$4 * S$6 = 0, "", $K24 * S23 * S$4 * S$6))</f>
        <v/>
      </c>
      <c r="T24" s="37" t="str">
        <f t="shared" ref="T24" si="347" xml:space="preserve"> IF( $K24 = "", "",  IF($K24 * T23 * T$4 * T$6 = 0, "", $K24 * T23 * T$4 * T$6))</f>
        <v/>
      </c>
      <c r="U24" s="37" t="str">
        <f t="shared" ref="U24" si="348" xml:space="preserve"> IF( $K24 = "", "",  IF($K24 * U23 * U$4 * U$6 = 0, "", $K24 * U23 * U$4 * U$6))</f>
        <v/>
      </c>
      <c r="V24" s="37" t="str">
        <f t="shared" ref="V24" si="349" xml:space="preserve"> IF( $K24 = "", "",  IF($K24 * V23 * V$4 * V$6 = 0, "", $K24 * V23 * V$4 * V$6))</f>
        <v/>
      </c>
      <c r="W24" s="37" t="str">
        <f t="shared" ref="W24" si="350" xml:space="preserve"> IF( $K24 = "", "",  IF($K24 * W23 * W$4 * W$6 = 0, "", $K24 * W23 * W$4 * W$6))</f>
        <v/>
      </c>
      <c r="X24" s="37" t="str">
        <f t="shared" ref="X24" si="351" xml:space="preserve"> IF( $K24 = "", "",  IF($K24 * X23 * X$4 * X$6 = 0, "", $K24 * X23 * X$4 * X$6))</f>
        <v/>
      </c>
      <c r="Y24" s="37" t="str">
        <f t="shared" ref="Y24" si="352" xml:space="preserve"> IF( $K24 = "", "",  IF($K24 * Y23 * Y$4 * Y$6 = 0, "", $K24 * Y23 * Y$4 * Y$6))</f>
        <v/>
      </c>
      <c r="Z24" s="37" t="str">
        <f t="shared" ref="Z24" si="353" xml:space="preserve"> IF( $K24 = "", "",  IF($K24 * Z23 * Z$4 * Z$6 = 0, "", $K24 * Z23 * Z$4 * Z$6))</f>
        <v/>
      </c>
      <c r="AA24" s="37" t="str">
        <f t="shared" ref="AA24" si="354" xml:space="preserve"> IF( $K24 = "", "",  IF($K24 * AA23 * AA$4 * AA$6 = 0, "", $K24 * AA23 * AA$4 * AA$6))</f>
        <v/>
      </c>
      <c r="AB24" s="37" t="str">
        <f t="shared" ref="AB24" si="355" xml:space="preserve"> IF( $K24 = "", "",  IF($K24 * AB23 * AB$4 * AB$6 = 0, "", $K24 * AB23 * AB$4 * AB$6))</f>
        <v/>
      </c>
      <c r="AC24" s="37" t="str">
        <f t="shared" ref="AC24" si="356" xml:space="preserve"> IF( $K24 = "", "",  IF($K24 * AC23 * AC$4 * AC$6 = 0, "", $K24 * AC23 * AC$4 * AC$6))</f>
        <v/>
      </c>
      <c r="AD24" s="37" t="str">
        <f t="shared" ref="AD24" si="357" xml:space="preserve"> IF( $K24 = "", "",  IF($K24 * AD23 * AD$4 * AD$6 = 0, "", $K24 * AD23 * AD$4 * AD$6))</f>
        <v/>
      </c>
      <c r="AE24" s="37" t="str">
        <f t="shared" ref="AE24" si="358" xml:space="preserve"> IF( $K24 = "", "",  IF($K24 * AE23 * AE$4 * AE$6 = 0, "", $K24 * AE23 * AE$4 * AE$6))</f>
        <v/>
      </c>
      <c r="AF24" s="37" t="str">
        <f t="shared" ref="AF24" si="359" xml:space="preserve"> IF( $K24 = "", "",  IF($K24 * AF23 * AF$4 * AF$6 = 0, "", $K24 * AF23 * AF$4 * AF$6))</f>
        <v/>
      </c>
      <c r="AG24" s="37" t="str">
        <f t="shared" ref="AG24" si="360" xml:space="preserve"> IF( $K24 = "", "",  IF($K24 * AG23 * AG$4 * AG$6 = 0, "", $K24 * AG23 * AG$4 * AG$6))</f>
        <v/>
      </c>
      <c r="AH24" s="37" t="str">
        <f t="shared" ref="AH24" si="361" xml:space="preserve"> IF( $K24 = "", "",  IF($K24 * AH23 * AH$4 * AH$6 = 0, "", $K24 * AH23 * AH$4 * AH$6))</f>
        <v/>
      </c>
      <c r="AI24" s="37" t="str">
        <f t="shared" ref="AI24" si="362" xml:space="preserve"> IF( $K24 = "", "",  IF($K24 * AI23 * AI$4 * AI$6 = 0, "", $K24 * AI23 * AI$4 * AI$6))</f>
        <v/>
      </c>
      <c r="AJ24" s="37" t="str">
        <f t="shared" ref="AJ24" si="363" xml:space="preserve"> IF( $K24 = "", "",  IF($K24 * AJ23 * AJ$4 * AJ$6 = 0, "", $K24 * AJ23 * AJ$4 * AJ$6))</f>
        <v/>
      </c>
      <c r="AK24" s="37" t="str">
        <f t="shared" ref="AK24" si="364" xml:space="preserve"> IF( $K24 = "", "",  IF($K24 * AK23 * AK$4 * AK$6 = 0, "", $K24 * AK23 * AK$4 * AK$6))</f>
        <v/>
      </c>
      <c r="AL24" s="37" t="str">
        <f t="shared" ref="AL24" si="365" xml:space="preserve"> IF( $K24 = "", "",  IF($K24 * AL23 * AL$4 * AL$6 = 0, "", $K24 * AL23 * AL$4 * AL$6))</f>
        <v/>
      </c>
      <c r="AM24" s="37" t="str">
        <f t="shared" ref="AM24" si="366" xml:space="preserve"> IF( $K24 = "", "",  IF($K24 * AM23 * AM$4 * AM$6 = 0, "", $K24 * AM23 * AM$4 * AM$6))</f>
        <v/>
      </c>
      <c r="AN24" s="37" t="str">
        <f t="shared" ref="AN24" si="367" xml:space="preserve"> IF( $K24 = "", "",  IF($K24 * AN23 * AN$4 * AN$6 = 0, "", $K24 * AN23 * AN$4 * AN$6))</f>
        <v/>
      </c>
      <c r="AO24" s="37" t="str">
        <f t="shared" ref="AO24" si="368" xml:space="preserve"> IF( $K24 = "", "",  IF($K24 * AO23 * AO$4 * AO$6 = 0, "", $K24 * AO23 * AO$4 * AO$6))</f>
        <v/>
      </c>
      <c r="AP24" s="37" t="str">
        <f t="shared" ref="AP24" si="369" xml:space="preserve"> IF( $K24 = "", "",  IF($K24 * AP23 * AP$4 * AP$6 = 0, "", $K24 * AP23 * AP$4 * AP$6))</f>
        <v/>
      </c>
      <c r="AQ24" s="37" t="str">
        <f t="shared" ref="AQ24" si="370" xml:space="preserve"> IF( $K24 = "", "",  IF($K24 * AQ23 * AQ$4 * AQ$6 = 0, "", $K24 * AQ23 * AQ$4 * AQ$6))</f>
        <v/>
      </c>
      <c r="AR24" s="37" t="str">
        <f t="shared" ref="AR24" si="371" xml:space="preserve"> IF( $K24 = "", "",  IF($K24 * AR23 * AR$4 * AR$6 = 0, "", $K24 * AR23 * AR$4 * AR$6))</f>
        <v/>
      </c>
      <c r="AS24" s="37" t="str">
        <f t="shared" ref="AS24" si="372" xml:space="preserve"> IF( $K24 = "", "",  IF($K24 * AS23 * AS$4 * AS$6 = 0, "", $K24 * AS23 * AS$4 * AS$6))</f>
        <v/>
      </c>
      <c r="AT24" s="37" t="str">
        <f t="shared" ref="AT24" si="373" xml:space="preserve"> IF( $K24 = "", "",  IF($K24 * AT23 * AT$4 * AT$6 = 0, "", $K24 * AT23 * AT$4 * AT$6))</f>
        <v/>
      </c>
      <c r="AU24" s="37" t="str">
        <f t="shared" ref="AU24" si="374" xml:space="preserve"> IF( $K24 = "", "",  IF($K24 * AU23 * AU$4 * AU$6 = 0, "", $K24 * AU23 * AU$4 * AU$6))</f>
        <v/>
      </c>
      <c r="AV24" s="37" t="str">
        <f t="shared" ref="AV24" si="375" xml:space="preserve"> IF( $K24 = "", "",  IF($K24 * AV23 * AV$4 * AV$6 = 0, "", $K24 * AV23 * AV$4 * AV$6))</f>
        <v/>
      </c>
      <c r="AW24" s="37" t="str">
        <f t="shared" ref="AW24" si="376" xml:space="preserve"> IF( $K24 = "", "",  IF($K24 * AW23 * AW$4 * AW$6 = 0, "", $K24 * AW23 * AW$4 * AW$6))</f>
        <v/>
      </c>
      <c r="AX24" s="37" t="str">
        <f t="shared" ref="AX24" si="377" xml:space="preserve"> IF( $K24 = "", "",  IF($K24 * AX23 * AX$4 * AX$6 = 0, "", $K24 * AX23 * AX$4 * AX$6))</f>
        <v/>
      </c>
      <c r="AY24" s="37" t="str">
        <f t="shared" ref="AY24" si="378" xml:space="preserve"> IF( $K24 = "", "",  IF($K24 * AY23 * AY$4 * AY$6 = 0, "", $K24 * AY23 * AY$4 * AY$6))</f>
        <v/>
      </c>
      <c r="AZ24" s="37" t="str">
        <f t="shared" ref="AZ24" si="379" xml:space="preserve"> IF( $K24 = "", "",  IF($K24 * AZ23 * AZ$4 * AZ$6 = 0, "", $K24 * AZ23 * AZ$4 * AZ$6))</f>
        <v/>
      </c>
      <c r="BA24" s="37" t="str">
        <f t="shared" ref="BA24" si="380" xml:space="preserve"> IF( $K24 = "", "",  IF($K24 * BA23 * BA$4 * BA$6 = 0, "", $K24 * BA23 * BA$4 * BA$6))</f>
        <v/>
      </c>
      <c r="BB24" s="37" t="str">
        <f t="shared" ref="BB24" si="381" xml:space="preserve"> IF( $K24 = "", "",  IF($K24 * BB23 * BB$4 * BB$6 = 0, "", $K24 * BB23 * BB$4 * BB$6))</f>
        <v/>
      </c>
      <c r="BC24" s="37" t="str">
        <f t="shared" ref="BC24" si="382" xml:space="preserve"> IF( $K24 = "", "",  IF($K24 * BC23 * BC$4 * BC$6 = 0, "", $K24 * BC23 * BC$4 * BC$6))</f>
        <v/>
      </c>
      <c r="BD24" s="37" t="str">
        <f t="shared" ref="BD24" si="383" xml:space="preserve"> IF( $K24 = "", "",  IF($K24 * BD23 * BD$4 * BD$6 = 0, "", $K24 * BD23 * BD$4 * BD$6))</f>
        <v/>
      </c>
      <c r="BE24" s="37" t="str">
        <f t="shared" ref="BE24" si="384" xml:space="preserve"> IF( $K24 = "", "",  IF($K24 * BE23 * BE$4 * BE$6 = 0, "", $K24 * BE23 * BE$4 * BE$6))</f>
        <v/>
      </c>
      <c r="BF24" s="37" t="str">
        <f t="shared" ref="BF24" si="385" xml:space="preserve"> IF( $K24 = "", "",  IF($K24 * BF23 * BF$4 * BF$6 = 0, "", $K24 * BF23 * BF$4 * BF$6))</f>
        <v/>
      </c>
      <c r="BG24" s="37" t="str">
        <f t="shared" ref="BG24" si="386" xml:space="preserve"> IF( $K24 = "", "",  IF($K24 * BG23 * BG$4 * BG$6 = 0, "", $K24 * BG23 * BG$4 * BG$6))</f>
        <v/>
      </c>
      <c r="BH24" s="37" t="str">
        <f t="shared" ref="BH24" si="387" xml:space="preserve"> IF( $K24 = "", "",  IF($K24 * BH23 * BH$4 * BH$6 = 0, "", $K24 * BH23 * BH$4 * BH$6))</f>
        <v/>
      </c>
      <c r="BI24" s="37" t="str">
        <f t="shared" ref="BI24" si="388" xml:space="preserve"> IF( $K24 = "", "",  IF($K24 * BI23 * BI$4 * BI$6 = 0, "", $K24 * BI23 * BI$4 * BI$6))</f>
        <v/>
      </c>
      <c r="BJ24" s="37" t="str">
        <f t="shared" ref="BJ24" si="389" xml:space="preserve"> IF( $K24 = "", "",  IF($K24 * BJ23 * BJ$4 * BJ$6 = 0, "", $K24 * BJ23 * BJ$4 * BJ$6))</f>
        <v/>
      </c>
      <c r="BK24" s="37" t="str">
        <f t="shared" ref="BK24" si="390" xml:space="preserve"> IF( $K24 = "", "",  IF($K24 * BK23 * BK$4 * BK$6 = 0, "", $K24 * BK23 * BK$4 * BK$6))</f>
        <v/>
      </c>
      <c r="BL24" s="37" t="str">
        <f t="shared" ref="BL24" si="391" xml:space="preserve"> IF( $K24 = "", "",  IF($K24 * BL23 * BL$4 * BL$6 = 0, "", $K24 * BL23 * BL$4 * BL$6))</f>
        <v/>
      </c>
      <c r="BM24" s="37" t="str">
        <f t="shared" ref="BM24" si="392" xml:space="preserve"> IF( $K24 = "", "",  IF($K24 * BM23 * BM$4 * BM$6 = 0, "", $K24 * BM23 * BM$4 * BM$6))</f>
        <v/>
      </c>
      <c r="BN24" s="37" t="str">
        <f t="shared" ref="BN24" si="393" xml:space="preserve"> IF( $K24 = "", "",  IF($K24 * BN23 * BN$4 * BN$6 = 0, "", $K24 * BN23 * BN$4 * BN$6))</f>
        <v/>
      </c>
      <c r="BO24" s="37" t="str">
        <f t="shared" ref="BO24" si="394" xml:space="preserve"> IF( $K24 = "", "",  IF($K24 * BO23 * BO$4 * BO$6 = 0, "", $K24 * BO23 * BO$4 * BO$6))</f>
        <v/>
      </c>
      <c r="BP24" s="37" t="str">
        <f t="shared" ref="BP24" si="395" xml:space="preserve"> IF( $K24 = "", "",  IF($K24 * BP23 * BP$4 * BP$6 = 0, "", $K24 * BP23 * BP$4 * BP$6))</f>
        <v/>
      </c>
      <c r="BQ24" s="37" t="str">
        <f t="shared" ref="BQ24" si="396" xml:space="preserve"> IF( $K24 = "", "",  IF($K24 * BQ23 * BQ$4 * BQ$6 = 0, "", $K24 * BQ23 * BQ$4 * BQ$6))</f>
        <v/>
      </c>
      <c r="BR24" s="37" t="str">
        <f t="shared" ref="BR24" si="397" xml:space="preserve"> IF( $K24 = "", "",  IF($K24 * BR23 * BR$4 * BR$6 = 0, "", $K24 * BR23 * BR$4 * BR$6))</f>
        <v/>
      </c>
      <c r="BS24" s="37" t="str">
        <f t="shared" ref="BS24" si="398" xml:space="preserve"> IF( $K24 = "", "",  IF($K24 * BS23 * BS$4 * BS$6 = 0, "", $K24 * BS23 * BS$4 * BS$6))</f>
        <v/>
      </c>
      <c r="BT24" s="37" t="str">
        <f t="shared" ref="BT24" si="399" xml:space="preserve"> IF( $K24 = "", "",  IF($K24 * BT23 * BT$4 * BT$6 = 0, "", $K24 * BT23 * BT$4 * BT$6))</f>
        <v/>
      </c>
      <c r="BU24" s="37" t="str">
        <f t="shared" ref="BU24" si="400" xml:space="preserve"> IF( $K24 = "", "",  IF($K24 * BU23 * BU$4 * BU$6 = 0, "", $K24 * BU23 * BU$4 * BU$6))</f>
        <v/>
      </c>
      <c r="BV24" s="37" t="str">
        <f t="shared" ref="BV24" si="401" xml:space="preserve"> IF( $K24 = "", "",  IF($K24 * BV23 * BV$4 * BV$6 = 0, "", $K24 * BV23 * BV$4 * BV$6))</f>
        <v/>
      </c>
      <c r="BW24" s="37" t="str">
        <f t="shared" ref="BW24" si="402" xml:space="preserve"> IF( $K24 = "", "",  IF($K24 * BW23 * BW$4 * BW$6 = 0, "", $K24 * BW23 * BW$4 * BW$6))</f>
        <v/>
      </c>
      <c r="BX24" s="37" t="str">
        <f t="shared" ref="BX24" si="403" xml:space="preserve"> IF( $K24 = "", "",  IF($K24 * BX23 * BX$4 * BX$6 = 0, "", $K24 * BX23 * BX$4 * BX$6))</f>
        <v/>
      </c>
      <c r="BY24" s="37" t="str">
        <f t="shared" ref="BY24" si="404" xml:space="preserve"> IF( $K24 = "", "",  IF($K24 * BY23 * BY$4 * BY$6 = 0, "", $K24 * BY23 * BY$4 * BY$6))</f>
        <v/>
      </c>
      <c r="BZ24" s="37" t="str">
        <f t="shared" ref="BZ24" si="405" xml:space="preserve"> IF( $K24 = "", "",  IF($K24 * BZ23 * BZ$4 * BZ$6 = 0, "", $K24 * BZ23 * BZ$4 * BZ$6))</f>
        <v/>
      </c>
      <c r="CA24" s="37" t="str">
        <f t="shared" ref="CA24" si="406" xml:space="preserve"> IF( $K24 = "", "",  IF($K24 * CA23 * CA$4 * CA$6 = 0, "", $K24 * CA23 * CA$4 * CA$6))</f>
        <v/>
      </c>
      <c r="CB24" s="37" t="str">
        <f t="shared" ref="CB24" si="407" xml:space="preserve"> IF( $K24 = "", "",  IF($K24 * CB23 * CB$4 * CB$6 = 0, "", $K24 * CB23 * CB$4 * CB$6))</f>
        <v/>
      </c>
      <c r="CC24" s="37" t="str">
        <f t="shared" ref="CC24" si="408" xml:space="preserve"> IF( $K24 = "", "",  IF($K24 * CC23 * CC$4 * CC$6 = 0, "", $K24 * CC23 * CC$4 * CC$6))</f>
        <v/>
      </c>
      <c r="CD24" s="41">
        <f>SUM(M24:CC24)</f>
        <v>0</v>
      </c>
    </row>
    <row r="25" spans="1:82" customFormat="1" ht="15" x14ac:dyDescent="0.2">
      <c r="A25" s="1"/>
      <c r="B25" s="1"/>
      <c r="C25" s="21"/>
      <c r="D25" s="1"/>
      <c r="E25" s="1"/>
      <c r="F25" s="1"/>
      <c r="G25" s="1"/>
      <c r="H25" s="13"/>
      <c r="I25" s="1"/>
      <c r="J25" s="1"/>
      <c r="K25" s="1"/>
      <c r="L25" s="1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42"/>
    </row>
    <row r="26" spans="1:82" customFormat="1" ht="15" x14ac:dyDescent="0.2">
      <c r="A26" s="1"/>
      <c r="B26" s="1"/>
      <c r="C26" s="1"/>
      <c r="D26" s="1"/>
      <c r="E26" s="1"/>
      <c r="F26" s="1"/>
      <c r="G26" s="1"/>
      <c r="H26" s="13"/>
      <c r="I26" s="1"/>
      <c r="J26" s="1"/>
      <c r="K26" s="1"/>
      <c r="L26" s="1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42"/>
    </row>
    <row r="27" spans="1:82" customFormat="1" ht="15" x14ac:dyDescent="0.2">
      <c r="A27" s="1"/>
      <c r="B27" s="1"/>
      <c r="C27" s="1"/>
      <c r="D27" s="1"/>
      <c r="E27" s="1"/>
      <c r="F27" s="1"/>
      <c r="G27" s="1"/>
      <c r="H27" s="13"/>
      <c r="I27" s="1"/>
      <c r="J27" s="1"/>
      <c r="K27" s="9" t="s">
        <v>23</v>
      </c>
      <c r="L27" s="1"/>
      <c r="M27" s="38">
        <f xml:space="preserve"> IF( SUM(M12,M14,M16,M18,M20,M22,M24) = 0, "", SUM(M12,M14,M16,M18,M20,M22,M24) )</f>
        <v>15777.600208036602</v>
      </c>
      <c r="N27" s="38">
        <f t="shared" ref="N27:BY27" si="409" xml:space="preserve"> IF( SUM(N12,N14,N16,N18,N20,N22,N24) = 0, "", SUM(N12,N14,N16,N18,N20,N22,N24) )</f>
        <v>15777.600208036602</v>
      </c>
      <c r="O27" s="38">
        <f t="shared" si="409"/>
        <v>15777.600208036602</v>
      </c>
      <c r="P27" s="38">
        <f t="shared" si="409"/>
        <v>15777.600208036602</v>
      </c>
      <c r="Q27" s="38">
        <f t="shared" si="409"/>
        <v>15777.600208036602</v>
      </c>
      <c r="R27" s="38">
        <f t="shared" si="409"/>
        <v>25898.100358843803</v>
      </c>
      <c r="S27" s="38">
        <f t="shared" si="409"/>
        <v>10847.100134566426</v>
      </c>
      <c r="T27" s="38">
        <f t="shared" si="409"/>
        <v>10847.100134566426</v>
      </c>
      <c r="U27" s="38">
        <f t="shared" si="409"/>
        <v>42246.599983759224</v>
      </c>
      <c r="V27" s="38">
        <f t="shared" si="409"/>
        <v>42246.599983759224</v>
      </c>
      <c r="W27" s="38">
        <f t="shared" si="409"/>
        <v>42246.599983759224</v>
      </c>
      <c r="X27" s="38">
        <f t="shared" si="409"/>
        <v>42246.599983759224</v>
      </c>
      <c r="Y27" s="38">
        <f t="shared" si="409"/>
        <v>9030.600107498467</v>
      </c>
      <c r="Z27" s="38">
        <f t="shared" si="409"/>
        <v>9030.600107498467</v>
      </c>
      <c r="AA27" s="38">
        <f t="shared" si="409"/>
        <v>9030.600107498467</v>
      </c>
      <c r="AB27" s="38">
        <f t="shared" si="409"/>
        <v>726.59998375922441</v>
      </c>
      <c r="AC27" s="38">
        <f t="shared" si="409"/>
        <v>726.59998375922441</v>
      </c>
      <c r="AD27" s="38" t="str">
        <f t="shared" si="409"/>
        <v/>
      </c>
      <c r="AE27" s="38" t="str">
        <f t="shared" si="409"/>
        <v/>
      </c>
      <c r="AF27" s="38" t="str">
        <f t="shared" si="409"/>
        <v/>
      </c>
      <c r="AG27" s="38" t="str">
        <f t="shared" si="409"/>
        <v/>
      </c>
      <c r="AH27" s="38" t="str">
        <f t="shared" si="409"/>
        <v/>
      </c>
      <c r="AI27" s="38" t="str">
        <f t="shared" si="409"/>
        <v/>
      </c>
      <c r="AJ27" s="38" t="str">
        <f t="shared" si="409"/>
        <v/>
      </c>
      <c r="AK27" s="38" t="str">
        <f t="shared" si="409"/>
        <v/>
      </c>
      <c r="AL27" s="38" t="str">
        <f t="shared" si="409"/>
        <v/>
      </c>
      <c r="AM27" s="38" t="str">
        <f t="shared" si="409"/>
        <v/>
      </c>
      <c r="AN27" s="38" t="str">
        <f t="shared" si="409"/>
        <v/>
      </c>
      <c r="AO27" s="38" t="str">
        <f t="shared" si="409"/>
        <v/>
      </c>
      <c r="AP27" s="38" t="str">
        <f t="shared" si="409"/>
        <v/>
      </c>
      <c r="AQ27" s="38" t="str">
        <f t="shared" si="409"/>
        <v/>
      </c>
      <c r="AR27" s="38" t="str">
        <f t="shared" si="409"/>
        <v/>
      </c>
      <c r="AS27" s="38" t="str">
        <f t="shared" si="409"/>
        <v/>
      </c>
      <c r="AT27" s="38" t="str">
        <f t="shared" si="409"/>
        <v/>
      </c>
      <c r="AU27" s="38" t="str">
        <f t="shared" si="409"/>
        <v/>
      </c>
      <c r="AV27" s="38" t="str">
        <f t="shared" si="409"/>
        <v/>
      </c>
      <c r="AW27" s="38" t="str">
        <f t="shared" si="409"/>
        <v/>
      </c>
      <c r="AX27" s="38" t="str">
        <f t="shared" si="409"/>
        <v/>
      </c>
      <c r="AY27" s="38" t="str">
        <f t="shared" si="409"/>
        <v/>
      </c>
      <c r="AZ27" s="38" t="str">
        <f t="shared" si="409"/>
        <v/>
      </c>
      <c r="BA27" s="38" t="str">
        <f t="shared" si="409"/>
        <v/>
      </c>
      <c r="BB27" s="38" t="str">
        <f t="shared" si="409"/>
        <v/>
      </c>
      <c r="BC27" s="38" t="str">
        <f t="shared" si="409"/>
        <v/>
      </c>
      <c r="BD27" s="38" t="str">
        <f t="shared" si="409"/>
        <v/>
      </c>
      <c r="BE27" s="38" t="str">
        <f t="shared" si="409"/>
        <v/>
      </c>
      <c r="BF27" s="38" t="str">
        <f t="shared" si="409"/>
        <v/>
      </c>
      <c r="BG27" s="38" t="str">
        <f t="shared" si="409"/>
        <v/>
      </c>
      <c r="BH27" s="38" t="str">
        <f t="shared" si="409"/>
        <v/>
      </c>
      <c r="BI27" s="38" t="str">
        <f t="shared" si="409"/>
        <v/>
      </c>
      <c r="BJ27" s="38" t="str">
        <f t="shared" si="409"/>
        <v/>
      </c>
      <c r="BK27" s="38" t="str">
        <f t="shared" si="409"/>
        <v/>
      </c>
      <c r="BL27" s="38" t="str">
        <f t="shared" si="409"/>
        <v/>
      </c>
      <c r="BM27" s="38" t="str">
        <f t="shared" si="409"/>
        <v/>
      </c>
      <c r="BN27" s="38" t="str">
        <f t="shared" si="409"/>
        <v/>
      </c>
      <c r="BO27" s="38" t="str">
        <f t="shared" si="409"/>
        <v/>
      </c>
      <c r="BP27" s="38" t="str">
        <f t="shared" si="409"/>
        <v/>
      </c>
      <c r="BQ27" s="38" t="str">
        <f t="shared" si="409"/>
        <v/>
      </c>
      <c r="BR27" s="38" t="str">
        <f t="shared" si="409"/>
        <v/>
      </c>
      <c r="BS27" s="38" t="str">
        <f t="shared" si="409"/>
        <v/>
      </c>
      <c r="BT27" s="38" t="str">
        <f t="shared" si="409"/>
        <v/>
      </c>
      <c r="BU27" s="38" t="str">
        <f t="shared" si="409"/>
        <v/>
      </c>
      <c r="BV27" s="38" t="str">
        <f t="shared" si="409"/>
        <v/>
      </c>
      <c r="BW27" s="38" t="str">
        <f t="shared" si="409"/>
        <v/>
      </c>
      <c r="BX27" s="38" t="str">
        <f t="shared" si="409"/>
        <v/>
      </c>
      <c r="BY27" s="38" t="str">
        <f t="shared" si="409"/>
        <v/>
      </c>
      <c r="BZ27" s="38" t="str">
        <f t="shared" ref="BZ27:CC27" si="410" xml:space="preserve"> IF( SUM(BZ12,BZ14,BZ16,BZ18,BZ20,BZ22,BZ24) = 0, "", SUM(BZ12,BZ14,BZ16,BZ18,BZ20,BZ22,BZ24) )</f>
        <v/>
      </c>
      <c r="CA27" s="38" t="str">
        <f t="shared" si="410"/>
        <v/>
      </c>
      <c r="CB27" s="38" t="str">
        <f t="shared" si="410"/>
        <v/>
      </c>
      <c r="CC27" s="38" t="str">
        <f t="shared" si="410"/>
        <v/>
      </c>
      <c r="CD27" s="43">
        <f xml:space="preserve"> IF( SUM(CD12,CD14,CD16,CD18,CD20,CD22,CD24) = 0, "", SUM(CD12,CD14,CD16,CD18,CD20,CD22,CD24) )</f>
        <v>324011.70189321041</v>
      </c>
    </row>
    <row r="28" spans="1:82" customFormat="1" ht="15" x14ac:dyDescent="0.2">
      <c r="A28" s="1"/>
      <c r="B28" s="1"/>
      <c r="C28" s="1"/>
      <c r="D28" s="1"/>
      <c r="E28" s="1"/>
      <c r="F28" s="1"/>
      <c r="G28" s="1"/>
      <c r="H28" s="13"/>
      <c r="I28" s="1"/>
      <c r="J28" s="1"/>
      <c r="K28" s="9"/>
      <c r="L28" s="1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42"/>
    </row>
    <row r="29" spans="1:82" customFormat="1" ht="15" x14ac:dyDescent="0.2">
      <c r="A29" s="4" t="s">
        <v>18</v>
      </c>
      <c r="B29" s="1"/>
      <c r="C29" s="1"/>
      <c r="D29" s="1"/>
      <c r="E29" s="1"/>
      <c r="F29" s="1"/>
      <c r="G29" s="1"/>
      <c r="H29" s="13"/>
      <c r="I29" s="1"/>
      <c r="J29" s="1"/>
      <c r="K29" s="9" t="s">
        <v>24</v>
      </c>
      <c r="L29" s="1"/>
      <c r="M29" s="38">
        <f xml:space="preserve"> IF(M27 = "", "", M27)</f>
        <v>15777.600208036602</v>
      </c>
      <c r="N29" s="38">
        <f xml:space="preserve"> IF( N27 = "", "", SUM(N27, M29))</f>
        <v>31555.200416073203</v>
      </c>
      <c r="O29" s="38">
        <f t="shared" ref="O29:BZ29" si="411" xml:space="preserve"> IF( O27 = "", "", SUM(O27, N29))</f>
        <v>47332.800624109805</v>
      </c>
      <c r="P29" s="38">
        <f t="shared" si="411"/>
        <v>63110.400832146406</v>
      </c>
      <c r="Q29" s="38">
        <f t="shared" si="411"/>
        <v>78888.001040183008</v>
      </c>
      <c r="R29" s="38">
        <f t="shared" si="411"/>
        <v>104786.10139902681</v>
      </c>
      <c r="S29" s="38">
        <f t="shared" si="411"/>
        <v>115633.20153359324</v>
      </c>
      <c r="T29" s="38">
        <f t="shared" si="411"/>
        <v>126480.30166815966</v>
      </c>
      <c r="U29" s="38">
        <f t="shared" si="411"/>
        <v>168726.90165191889</v>
      </c>
      <c r="V29" s="38">
        <f t="shared" si="411"/>
        <v>210973.50163567811</v>
      </c>
      <c r="W29" s="38">
        <f t="shared" si="411"/>
        <v>253220.10161943734</v>
      </c>
      <c r="X29" s="38">
        <f t="shared" si="411"/>
        <v>295466.70160319656</v>
      </c>
      <c r="Y29" s="38">
        <f t="shared" si="411"/>
        <v>304497.30171069503</v>
      </c>
      <c r="Z29" s="38">
        <f t="shared" si="411"/>
        <v>313527.9018181935</v>
      </c>
      <c r="AA29" s="38">
        <f t="shared" si="411"/>
        <v>322558.50192569196</v>
      </c>
      <c r="AB29" s="38">
        <f t="shared" si="411"/>
        <v>323285.10190945119</v>
      </c>
      <c r="AC29" s="38">
        <f t="shared" si="411"/>
        <v>324011.70189321041</v>
      </c>
      <c r="AD29" s="38" t="str">
        <f t="shared" si="411"/>
        <v/>
      </c>
      <c r="AE29" s="38" t="str">
        <f t="shared" si="411"/>
        <v/>
      </c>
      <c r="AF29" s="38" t="str">
        <f t="shared" si="411"/>
        <v/>
      </c>
      <c r="AG29" s="38" t="str">
        <f t="shared" si="411"/>
        <v/>
      </c>
      <c r="AH29" s="38" t="str">
        <f t="shared" si="411"/>
        <v/>
      </c>
      <c r="AI29" s="38" t="str">
        <f t="shared" si="411"/>
        <v/>
      </c>
      <c r="AJ29" s="38" t="str">
        <f t="shared" si="411"/>
        <v/>
      </c>
      <c r="AK29" s="38" t="str">
        <f t="shared" si="411"/>
        <v/>
      </c>
      <c r="AL29" s="38" t="str">
        <f t="shared" si="411"/>
        <v/>
      </c>
      <c r="AM29" s="38" t="str">
        <f t="shared" si="411"/>
        <v/>
      </c>
      <c r="AN29" s="38" t="str">
        <f t="shared" si="411"/>
        <v/>
      </c>
      <c r="AO29" s="38" t="str">
        <f t="shared" si="411"/>
        <v/>
      </c>
      <c r="AP29" s="38" t="str">
        <f t="shared" si="411"/>
        <v/>
      </c>
      <c r="AQ29" s="38" t="str">
        <f t="shared" si="411"/>
        <v/>
      </c>
      <c r="AR29" s="38" t="str">
        <f t="shared" si="411"/>
        <v/>
      </c>
      <c r="AS29" s="38" t="str">
        <f t="shared" si="411"/>
        <v/>
      </c>
      <c r="AT29" s="38" t="str">
        <f t="shared" si="411"/>
        <v/>
      </c>
      <c r="AU29" s="38" t="str">
        <f t="shared" si="411"/>
        <v/>
      </c>
      <c r="AV29" s="38" t="str">
        <f t="shared" si="411"/>
        <v/>
      </c>
      <c r="AW29" s="38" t="str">
        <f t="shared" si="411"/>
        <v/>
      </c>
      <c r="AX29" s="38" t="str">
        <f t="shared" si="411"/>
        <v/>
      </c>
      <c r="AY29" s="38" t="str">
        <f t="shared" si="411"/>
        <v/>
      </c>
      <c r="AZ29" s="38" t="str">
        <f t="shared" si="411"/>
        <v/>
      </c>
      <c r="BA29" s="38" t="str">
        <f t="shared" si="411"/>
        <v/>
      </c>
      <c r="BB29" s="38" t="str">
        <f t="shared" si="411"/>
        <v/>
      </c>
      <c r="BC29" s="38" t="str">
        <f t="shared" si="411"/>
        <v/>
      </c>
      <c r="BD29" s="38" t="str">
        <f t="shared" si="411"/>
        <v/>
      </c>
      <c r="BE29" s="38" t="str">
        <f t="shared" si="411"/>
        <v/>
      </c>
      <c r="BF29" s="38" t="str">
        <f t="shared" si="411"/>
        <v/>
      </c>
      <c r="BG29" s="38" t="str">
        <f t="shared" si="411"/>
        <v/>
      </c>
      <c r="BH29" s="38" t="str">
        <f t="shared" si="411"/>
        <v/>
      </c>
      <c r="BI29" s="38" t="str">
        <f t="shared" si="411"/>
        <v/>
      </c>
      <c r="BJ29" s="38" t="str">
        <f t="shared" si="411"/>
        <v/>
      </c>
      <c r="BK29" s="38" t="str">
        <f t="shared" si="411"/>
        <v/>
      </c>
      <c r="BL29" s="38" t="str">
        <f t="shared" si="411"/>
        <v/>
      </c>
      <c r="BM29" s="38" t="str">
        <f t="shared" si="411"/>
        <v/>
      </c>
      <c r="BN29" s="38" t="str">
        <f t="shared" si="411"/>
        <v/>
      </c>
      <c r="BO29" s="38" t="str">
        <f t="shared" si="411"/>
        <v/>
      </c>
      <c r="BP29" s="38" t="str">
        <f t="shared" si="411"/>
        <v/>
      </c>
      <c r="BQ29" s="38" t="str">
        <f t="shared" si="411"/>
        <v/>
      </c>
      <c r="BR29" s="38" t="str">
        <f t="shared" si="411"/>
        <v/>
      </c>
      <c r="BS29" s="38" t="str">
        <f t="shared" si="411"/>
        <v/>
      </c>
      <c r="BT29" s="38" t="str">
        <f t="shared" si="411"/>
        <v/>
      </c>
      <c r="BU29" s="38" t="str">
        <f t="shared" si="411"/>
        <v/>
      </c>
      <c r="BV29" s="38" t="str">
        <f t="shared" si="411"/>
        <v/>
      </c>
      <c r="BW29" s="38" t="str">
        <f t="shared" si="411"/>
        <v/>
      </c>
      <c r="BX29" s="38" t="str">
        <f t="shared" si="411"/>
        <v/>
      </c>
      <c r="BY29" s="38" t="str">
        <f t="shared" si="411"/>
        <v/>
      </c>
      <c r="BZ29" s="38" t="str">
        <f t="shared" si="411"/>
        <v/>
      </c>
      <c r="CA29" s="38" t="str">
        <f t="shared" ref="CA29:CC29" si="412" xml:space="preserve"> IF( CA27 = "", "", SUM(CA27, BZ29))</f>
        <v/>
      </c>
      <c r="CB29" s="38" t="str">
        <f t="shared" si="412"/>
        <v/>
      </c>
      <c r="CC29" s="38" t="str">
        <f t="shared" si="412"/>
        <v/>
      </c>
      <c r="CD29" s="43"/>
    </row>
    <row r="30" spans="1:82" customFormat="1" ht="15" x14ac:dyDescent="0.2">
      <c r="A30" s="12">
        <v>0</v>
      </c>
      <c r="B30" s="12">
        <v>0.05</v>
      </c>
      <c r="C30" s="1"/>
      <c r="D30" s="1"/>
      <c r="E30" s="1"/>
      <c r="F30" s="1"/>
      <c r="G30" s="1"/>
      <c r="H30" s="13"/>
      <c r="I30" s="1"/>
      <c r="J30" s="1"/>
      <c r="K30" s="1"/>
      <c r="L30" s="1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</row>
    <row r="31" spans="1:82" customFormat="1" ht="15" x14ac:dyDescent="0.2">
      <c r="A31" s="12">
        <v>0.1</v>
      </c>
      <c r="B31" s="12">
        <v>0.15</v>
      </c>
      <c r="C31" s="1"/>
      <c r="D31" s="1"/>
      <c r="E31" s="1"/>
      <c r="F31" s="1"/>
      <c r="G31" s="1"/>
      <c r="H31" s="13"/>
      <c r="I31" s="1"/>
      <c r="J31" s="1"/>
      <c r="K31" s="1"/>
      <c r="L31" s="1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</row>
    <row r="32" spans="1:82" customFormat="1" ht="15" x14ac:dyDescent="0.2">
      <c r="A32" s="12">
        <v>0.2</v>
      </c>
      <c r="B32" s="12">
        <v>0.25</v>
      </c>
      <c r="C32" s="1"/>
      <c r="D32" s="1"/>
      <c r="E32" s="1"/>
      <c r="F32" s="17"/>
      <c r="G32" s="17"/>
      <c r="H32" s="34"/>
      <c r="I32" s="1"/>
      <c r="J32" s="1"/>
      <c r="K32" s="1"/>
      <c r="L32" s="1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</row>
    <row r="33" spans="1:81" customFormat="1" ht="15" x14ac:dyDescent="0.2">
      <c r="A33" s="12">
        <v>0.3</v>
      </c>
      <c r="B33" s="12">
        <v>0.35</v>
      </c>
      <c r="C33" s="1"/>
      <c r="D33" s="1"/>
      <c r="E33" s="1"/>
      <c r="F33" s="17"/>
      <c r="G33" s="17"/>
      <c r="H33" s="34"/>
      <c r="I33" s="1"/>
      <c r="J33" s="1"/>
      <c r="K33" s="1"/>
      <c r="L33" s="1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</row>
    <row r="34" spans="1:81" customFormat="1" ht="15" x14ac:dyDescent="0.2">
      <c r="A34" s="12">
        <v>0.4</v>
      </c>
      <c r="B34" s="12">
        <v>0.45</v>
      </c>
      <c r="C34" s="1"/>
      <c r="D34" s="1"/>
      <c r="E34" s="1"/>
      <c r="F34" s="1"/>
      <c r="G34" s="1"/>
      <c r="H34" s="13"/>
      <c r="I34" s="1"/>
      <c r="J34" s="1"/>
      <c r="K34" s="1"/>
      <c r="L34" s="1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</row>
    <row r="35" spans="1:81" customFormat="1" ht="15" x14ac:dyDescent="0.2">
      <c r="A35" s="12">
        <v>0.5</v>
      </c>
      <c r="B35" s="12">
        <v>0.55000000000000004</v>
      </c>
      <c r="C35" s="1"/>
      <c r="D35" s="1"/>
      <c r="E35" s="1"/>
      <c r="F35" s="1"/>
      <c r="G35" s="1"/>
      <c r="H35" s="13"/>
      <c r="I35" s="1"/>
      <c r="J35" s="1"/>
      <c r="K35" s="1"/>
      <c r="L35" s="1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</row>
    <row r="36" spans="1:81" customFormat="1" ht="15" x14ac:dyDescent="0.2">
      <c r="A36" s="12">
        <v>0.6</v>
      </c>
      <c r="B36" s="12">
        <v>0.65</v>
      </c>
      <c r="C36" s="1"/>
      <c r="D36" s="1"/>
      <c r="E36" s="1"/>
      <c r="F36" s="1"/>
      <c r="G36" s="1"/>
      <c r="H36" s="13"/>
      <c r="I36" s="1"/>
      <c r="J36" s="1"/>
      <c r="K36" s="1"/>
      <c r="L36" s="1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</row>
    <row r="37" spans="1:81" customFormat="1" ht="15" x14ac:dyDescent="0.2">
      <c r="A37" s="12">
        <v>0.7</v>
      </c>
      <c r="B37" s="12">
        <v>0.75</v>
      </c>
      <c r="C37" s="1"/>
      <c r="D37" s="1"/>
      <c r="E37" s="1"/>
      <c r="F37" s="1"/>
      <c r="G37" s="1"/>
      <c r="H37" s="13"/>
      <c r="I37" s="5" t="s">
        <v>25</v>
      </c>
      <c r="J37" s="38">
        <f>CD27</f>
        <v>324011.70189321041</v>
      </c>
      <c r="K37" s="5"/>
      <c r="L37" s="1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</row>
    <row r="38" spans="1:81" customFormat="1" ht="15" x14ac:dyDescent="0.2">
      <c r="A38" s="12">
        <v>0.8</v>
      </c>
      <c r="B38" s="12">
        <v>0.85</v>
      </c>
      <c r="C38" s="1"/>
      <c r="D38" s="1"/>
      <c r="E38" s="1"/>
      <c r="F38" s="1"/>
      <c r="G38" s="1"/>
      <c r="H38" s="13"/>
      <c r="I38" s="5"/>
      <c r="J38" s="5"/>
      <c r="K38" s="5"/>
      <c r="L38" s="1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</row>
    <row r="39" spans="1:81" customFormat="1" ht="15" x14ac:dyDescent="0.2">
      <c r="A39" s="12">
        <v>0.9</v>
      </c>
      <c r="B39" s="12">
        <v>0.95</v>
      </c>
      <c r="C39" s="1"/>
      <c r="D39" s="1"/>
      <c r="E39" s="1"/>
      <c r="F39" s="1"/>
      <c r="G39" s="1"/>
      <c r="H39" s="13"/>
      <c r="I39" s="5" t="s">
        <v>26</v>
      </c>
      <c r="J39" s="51">
        <v>30000</v>
      </c>
      <c r="K39" s="5"/>
      <c r="L39" s="1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</row>
    <row r="40" spans="1:81" customFormat="1" ht="15" x14ac:dyDescent="0.2">
      <c r="A40" s="12">
        <v>1</v>
      </c>
      <c r="B40" s="12"/>
      <c r="C40" s="1"/>
      <c r="D40" s="1"/>
      <c r="E40" s="1"/>
      <c r="F40" s="1"/>
      <c r="G40" s="1"/>
      <c r="H40" s="13"/>
      <c r="I40" s="5" t="s">
        <v>27</v>
      </c>
      <c r="J40" s="51">
        <v>250</v>
      </c>
      <c r="K40" s="5"/>
      <c r="L40" s="1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</row>
    <row r="41" spans="1:81" x14ac:dyDescent="0.15">
      <c r="H41" s="13"/>
      <c r="I41" s="5" t="s">
        <v>31</v>
      </c>
      <c r="J41" s="38">
        <f>J40*J39</f>
        <v>7500000</v>
      </c>
      <c r="K41" s="5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</row>
    <row r="42" spans="1:81" x14ac:dyDescent="0.15">
      <c r="H42" s="13"/>
      <c r="I42" s="5"/>
      <c r="J42" s="5"/>
      <c r="K42" s="5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1:81" x14ac:dyDescent="0.15">
      <c r="H43" s="13"/>
      <c r="I43" s="5"/>
      <c r="J43" s="5"/>
      <c r="K43" s="5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1:81" x14ac:dyDescent="0.15">
      <c r="A44" s="4" t="s">
        <v>12</v>
      </c>
      <c r="B44" s="4" t="s">
        <v>13</v>
      </c>
      <c r="C44" s="11" t="s">
        <v>14</v>
      </c>
      <c r="H44" s="13"/>
      <c r="I44" s="15" t="s">
        <v>1</v>
      </c>
      <c r="J44" s="38">
        <f>K44*$J$37</f>
        <v>81002.925473302603</v>
      </c>
      <c r="K44" s="48">
        <v>0.25</v>
      </c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1:81" x14ac:dyDescent="0.15">
      <c r="A45" s="15" t="s">
        <v>40</v>
      </c>
      <c r="B45" s="15" t="s">
        <v>20</v>
      </c>
      <c r="C45" s="16">
        <v>290</v>
      </c>
      <c r="H45" s="13"/>
      <c r="I45" s="15" t="s">
        <v>2</v>
      </c>
      <c r="J45" s="38">
        <f t="shared" ref="J45:J47" si="413">K45*$J$37</f>
        <v>81002.925473302603</v>
      </c>
      <c r="K45" s="48">
        <v>0.25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1:81" x14ac:dyDescent="0.15">
      <c r="A46" s="15" t="s">
        <v>6</v>
      </c>
      <c r="B46" s="15" t="s">
        <v>7</v>
      </c>
      <c r="C46" s="16">
        <v>195</v>
      </c>
      <c r="H46" s="13"/>
      <c r="I46" s="15" t="s">
        <v>28</v>
      </c>
      <c r="J46" s="38">
        <f t="shared" si="413"/>
        <v>32401.170189321041</v>
      </c>
      <c r="K46" s="48">
        <v>0.1</v>
      </c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1:81" x14ac:dyDescent="0.15">
      <c r="A47" s="15" t="s">
        <v>8</v>
      </c>
      <c r="B47" s="15" t="s">
        <v>9</v>
      </c>
      <c r="C47" s="16">
        <v>160</v>
      </c>
      <c r="H47" s="13"/>
      <c r="I47" s="50" t="s">
        <v>3</v>
      </c>
      <c r="J47" s="46">
        <f t="shared" si="413"/>
        <v>129604.68075728416</v>
      </c>
      <c r="K47" s="49">
        <v>0.4</v>
      </c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1:81" x14ac:dyDescent="0.15">
      <c r="A48" s="15" t="s">
        <v>15</v>
      </c>
      <c r="B48" s="15" t="s">
        <v>10</v>
      </c>
      <c r="C48" s="16">
        <v>160</v>
      </c>
      <c r="H48" s="13"/>
      <c r="I48" s="4" t="s">
        <v>29</v>
      </c>
      <c r="J48" s="47">
        <f>SUM(J44:J47)</f>
        <v>324011.70189321041</v>
      </c>
      <c r="K48" s="9">
        <f>SUM(K44:K47)</f>
        <v>1</v>
      </c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</row>
    <row r="49" spans="1:27" x14ac:dyDescent="0.15">
      <c r="A49" s="15" t="s">
        <v>19</v>
      </c>
      <c r="B49" s="15" t="s">
        <v>11</v>
      </c>
      <c r="C49" s="16">
        <v>140</v>
      </c>
      <c r="H49" s="13"/>
      <c r="I49" s="5"/>
      <c r="J49" s="5"/>
      <c r="K49" s="5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</row>
    <row r="50" spans="1:27" x14ac:dyDescent="0.15">
      <c r="A50" s="6"/>
      <c r="B50" s="6"/>
      <c r="C50" s="16"/>
      <c r="H50" s="13"/>
      <c r="I50" s="5" t="s">
        <v>30</v>
      </c>
      <c r="J50" s="52">
        <f>J48/J41</f>
        <v>4.3201560252428058E-2</v>
      </c>
      <c r="K50" s="5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</row>
    <row r="51" spans="1:27" x14ac:dyDescent="0.15">
      <c r="A51" s="6"/>
      <c r="B51" s="6"/>
      <c r="C51" s="6"/>
      <c r="H51" s="13"/>
      <c r="I51" s="5" t="s">
        <v>32</v>
      </c>
      <c r="J51" s="38">
        <f>J37/J39</f>
        <v>10.800390063107013</v>
      </c>
      <c r="K51" s="5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</row>
    <row r="52" spans="1:27" x14ac:dyDescent="0.15">
      <c r="A52" s="6"/>
      <c r="B52" s="22"/>
      <c r="C52" s="6"/>
      <c r="H52" s="13"/>
      <c r="I52" s="5"/>
      <c r="J52" s="5"/>
      <c r="K52" s="5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</row>
    <row r="53" spans="1:27" x14ac:dyDescent="0.15">
      <c r="A53" s="6"/>
      <c r="B53" s="22"/>
      <c r="C53" s="6"/>
      <c r="H53" s="13"/>
      <c r="I53" s="5"/>
      <c r="J53" s="44"/>
      <c r="K53" s="5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</row>
    <row r="54" spans="1:27" x14ac:dyDescent="0.15">
      <c r="A54" s="6"/>
      <c r="B54" s="22"/>
      <c r="C54" s="6"/>
      <c r="H54" s="13"/>
      <c r="I54" s="5"/>
      <c r="J54" s="45"/>
      <c r="K54" s="5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</row>
    <row r="55" spans="1:27" x14ac:dyDescent="0.15">
      <c r="A55" s="6"/>
      <c r="B55" s="22"/>
      <c r="C55" s="6"/>
      <c r="H55" s="13"/>
      <c r="I55" s="5" t="s">
        <v>33</v>
      </c>
      <c r="J55" s="38">
        <f>J41 / J40</f>
        <v>30000</v>
      </c>
      <c r="K55" s="5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</row>
    <row r="56" spans="1:27" x14ac:dyDescent="0.15">
      <c r="A56" s="6"/>
      <c r="B56" s="6"/>
      <c r="C56" s="6"/>
      <c r="H56" s="13"/>
      <c r="I56" s="5"/>
      <c r="J56" s="5"/>
      <c r="K56" s="5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</row>
    <row r="57" spans="1:27" x14ac:dyDescent="0.15">
      <c r="A57" s="6"/>
      <c r="B57" s="6"/>
      <c r="C57" s="6"/>
      <c r="H57" s="13"/>
      <c r="I57" s="5"/>
      <c r="J57" s="5"/>
      <c r="K57" s="5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</row>
    <row r="58" spans="1:27" x14ac:dyDescent="0.15">
      <c r="A58" s="6"/>
      <c r="B58" s="6"/>
      <c r="C58" s="6"/>
      <c r="H58" s="13"/>
      <c r="I58" s="5"/>
      <c r="J58" s="5"/>
      <c r="K58" s="5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</row>
    <row r="59" spans="1:27" x14ac:dyDescent="0.15">
      <c r="H59" s="13"/>
      <c r="K59" s="5"/>
    </row>
    <row r="60" spans="1:27" x14ac:dyDescent="0.15">
      <c r="H60" s="13"/>
      <c r="K60" s="5"/>
    </row>
    <row r="61" spans="1:27" x14ac:dyDescent="0.15">
      <c r="K61" s="5"/>
    </row>
  </sheetData>
  <conditionalFormatting sqref="A30:B4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0">
    <cfRule type="cellIs" priority="2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AF8D6A64-1D2F-4B3A-9FCE-13D65F3B2FDB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Moreno</dc:creator>
  <cp:lastModifiedBy>Jorge Moreno</cp:lastModifiedBy>
  <dcterms:created xsi:type="dcterms:W3CDTF">2023-11-03T15:24:03Z</dcterms:created>
  <dcterms:modified xsi:type="dcterms:W3CDTF">2023-12-29T15:03:38Z</dcterms:modified>
</cp:coreProperties>
</file>